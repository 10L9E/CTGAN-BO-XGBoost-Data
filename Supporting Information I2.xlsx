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all" sheetId="1" r:id="rId1"/>
  </sheets>
  <definedNames>
    <definedName name="_xlnm._FilterDatabase" localSheetId="0" hidden="1">all!$A$12:$AE$298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<sst xmlns="http://schemas.openxmlformats.org/spreadsheetml/2006/main" count="1416" uniqueCount="355">
  <si>
    <r>
      <rPr>
        <b/>
        <sz val="18"/>
        <color theme="1"/>
        <rFont val="Times New Roman"/>
        <charset val="134"/>
      </rPr>
      <t>Supporting Information</t>
    </r>
    <r>
      <rPr>
        <b/>
        <sz val="18"/>
        <color theme="1"/>
        <rFont val="宋体"/>
        <charset val="134"/>
      </rPr>
      <t xml:space="preserve"> </t>
    </r>
    <r>
      <rPr>
        <b/>
        <sz val="18"/>
        <color theme="1"/>
        <rFont val="Times New Roman"/>
        <charset val="134"/>
      </rPr>
      <t>I2</t>
    </r>
    <r>
      <rPr>
        <b/>
        <sz val="18"/>
        <color theme="1"/>
        <rFont val="Times New Roman"/>
        <charset val="134"/>
      </rPr>
      <t xml:space="preserve"> for</t>
    </r>
  </si>
  <si>
    <t>“CTGAN-BO-XGBoost: A Small-sample Adaptable AI-driven Prediction Framework for dam breach parameters integrating data augmentation”</t>
  </si>
  <si>
    <t xml:space="preserve"> </t>
  </si>
  <si>
    <r>
      <rPr>
        <sz val="10.5"/>
        <color theme="1"/>
        <rFont val="Times New Roman"/>
        <charset val="134"/>
      </rPr>
      <t>Ting Wang</t>
    </r>
    <r>
      <rPr>
        <vertAlign val="superscript"/>
        <sz val="10.5"/>
        <color theme="1"/>
        <rFont val="Times New Roman"/>
        <charset val="134"/>
      </rPr>
      <t>1</t>
    </r>
    <r>
      <rPr>
        <sz val="10.5"/>
        <color theme="1"/>
        <rFont val="Times New Roman"/>
        <charset val="134"/>
      </rPr>
      <t>, Tianle Zhang</t>
    </r>
    <r>
      <rPr>
        <vertAlign val="superscript"/>
        <sz val="10.5"/>
        <color theme="1"/>
        <rFont val="Times New Roman"/>
        <charset val="134"/>
      </rPr>
      <t>1</t>
    </r>
    <r>
      <rPr>
        <sz val="10.5"/>
        <color theme="1"/>
        <rFont val="Times New Roman"/>
        <charset val="134"/>
      </rPr>
      <t xml:space="preserve">, Zhiwen Tian 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Times New Roman"/>
        <charset val="134"/>
      </rPr>
      <t>, Yanlong Li</t>
    </r>
    <r>
      <rPr>
        <vertAlign val="superscript"/>
        <sz val="10.5"/>
        <color theme="1"/>
        <rFont val="Times New Roman"/>
        <charset val="134"/>
      </rPr>
      <t>1,*</t>
    </r>
    <r>
      <rPr>
        <sz val="10.5"/>
        <color theme="1"/>
        <rFont val="Times New Roman"/>
        <charset val="134"/>
      </rPr>
      <t>, Panrui Gao</t>
    </r>
    <r>
      <rPr>
        <vertAlign val="superscript"/>
        <sz val="10.5"/>
        <color theme="1"/>
        <rFont val="Times New Roman"/>
        <charset val="134"/>
      </rPr>
      <t>1</t>
    </r>
    <r>
      <rPr>
        <sz val="10.5"/>
        <color theme="1"/>
        <rFont val="Times New Roman"/>
        <charset val="134"/>
      </rPr>
      <t>,</t>
    </r>
    <r>
      <rPr>
        <sz val="10.5"/>
        <color theme="1"/>
        <rFont val="Times New Roman"/>
        <charset val="134"/>
      </rPr>
      <t xml:space="preserve"> Ye Zhang</t>
    </r>
    <r>
      <rPr>
        <vertAlign val="superscript"/>
        <sz val="10.5"/>
        <color theme="1"/>
        <rFont val="Times New Roman"/>
        <charset val="134"/>
      </rPr>
      <t>1</t>
    </r>
    <r>
      <rPr>
        <sz val="10.5"/>
        <color theme="1"/>
        <rFont val="Times New Roman"/>
        <charset val="134"/>
      </rPr>
      <t xml:space="preserve">, Junrui Chai </t>
    </r>
    <r>
      <rPr>
        <vertAlign val="superscript"/>
        <sz val="10.5"/>
        <color theme="1"/>
        <rFont val="Times New Roman"/>
        <charset val="134"/>
      </rPr>
      <t>1</t>
    </r>
    <r>
      <rPr>
        <sz val="10.5"/>
        <color theme="1"/>
        <rFont val="Times New Roman"/>
        <charset val="134"/>
      </rPr>
      <t xml:space="preserve">, Yunhe Liu </t>
    </r>
    <r>
      <rPr>
        <vertAlign val="superscript"/>
        <sz val="10.5"/>
        <color theme="1"/>
        <rFont val="Times New Roman"/>
        <charset val="134"/>
      </rPr>
      <t>1</t>
    </r>
  </si>
  <si>
    <r>
      <rPr>
        <vertAlign val="superscript"/>
        <sz val="10"/>
        <color theme="1"/>
        <rFont val="Times New Roman"/>
        <charset val="134"/>
      </rPr>
      <t>1</t>
    </r>
    <r>
      <rPr>
        <sz val="9"/>
        <color theme="1"/>
        <rFont val="Times New Roman"/>
        <charset val="134"/>
      </rPr>
      <t xml:space="preserve"> State Key Laboratory of Water Engineering Ecology and Environment in Arid Area, Xi’an University of Technology, Xi’an 710048, China</t>
    </r>
  </si>
  <si>
    <r>
      <rPr>
        <vertAlign val="superscript"/>
        <sz val="9"/>
        <color theme="1"/>
        <rFont val="Times New Roman"/>
        <charset val="134"/>
      </rPr>
      <t>2</t>
    </r>
    <r>
      <rPr>
        <sz val="9"/>
        <color theme="1"/>
        <rFont val="Times New Roman"/>
        <charset val="134"/>
      </rPr>
      <t>Xi'an Thermal Power Research Institute Co., Ltd, Xi’an 710048, China</t>
    </r>
  </si>
  <si>
    <t>*Corresponding author: Yanlong Li, yanlongli@xaut.edu.cn;</t>
  </si>
  <si>
    <t>No.</t>
  </si>
  <si>
    <t>Dam name</t>
  </si>
  <si>
    <t>Country</t>
  </si>
  <si>
    <t>k_ty</t>
  </si>
  <si>
    <t>dam</t>
  </si>
  <si>
    <t>height</t>
  </si>
  <si>
    <t>volum</t>
  </si>
  <si>
    <t>d50</t>
  </si>
  <si>
    <t>p'</t>
  </si>
  <si>
    <t>c</t>
  </si>
  <si>
    <t>tan</t>
  </si>
  <si>
    <t>per</t>
  </si>
  <si>
    <r>
      <rPr>
        <sz val="14"/>
        <color theme="1"/>
        <rFont val="宋体"/>
        <charset val="134"/>
      </rPr>
      <t>上游坡比</t>
    </r>
  </si>
  <si>
    <r>
      <rPr>
        <sz val="14"/>
        <color theme="1"/>
        <rFont val="宋体"/>
        <charset val="134"/>
      </rPr>
      <t>下游坡比</t>
    </r>
  </si>
  <si>
    <t>kang</t>
  </si>
  <si>
    <t>hb</t>
  </si>
  <si>
    <t>Qp</t>
  </si>
  <si>
    <t>Bave</t>
  </si>
  <si>
    <t>Tf</t>
  </si>
  <si>
    <r>
      <rPr>
        <sz val="14"/>
        <color theme="1"/>
        <rFont val="宋体"/>
        <charset val="134"/>
      </rPr>
      <t>数据来源</t>
    </r>
  </si>
  <si>
    <t>Apishapa</t>
  </si>
  <si>
    <t>US</t>
  </si>
  <si>
    <t>P</t>
  </si>
  <si>
    <t>HD</t>
  </si>
  <si>
    <t>H</t>
  </si>
  <si>
    <t>Shi and Zhong(2018)</t>
  </si>
  <si>
    <t>心墙</t>
  </si>
  <si>
    <t>Aozibei</t>
  </si>
  <si>
    <t>China</t>
  </si>
  <si>
    <t>O</t>
  </si>
  <si>
    <t>DSMC of the Ministry of Water Resources (2018)</t>
  </si>
  <si>
    <t>Baimiku</t>
  </si>
  <si>
    <t>M</t>
  </si>
  <si>
    <t>Xu and Zhang (2009)</t>
  </si>
  <si>
    <t>Baiyunji</t>
  </si>
  <si>
    <t>CD</t>
  </si>
  <si>
    <t>Baishuisi</t>
  </si>
  <si>
    <t>Baldwin Hills</t>
  </si>
  <si>
    <t>Banqiao</t>
  </si>
  <si>
    <t>Zhong and Chen (2017)</t>
  </si>
  <si>
    <t>Barbours</t>
  </si>
  <si>
    <t>Bass Haven Lake</t>
  </si>
  <si>
    <t>Froehlich(2016)</t>
  </si>
  <si>
    <t>Bayi</t>
  </si>
  <si>
    <t>Bearwallow Lake</t>
  </si>
  <si>
    <t>Wahl (1998)</t>
  </si>
  <si>
    <t>Belci Bacau County</t>
  </si>
  <si>
    <t>Romania</t>
  </si>
  <si>
    <t>Big Bay Dam</t>
  </si>
  <si>
    <t>Bila Desna</t>
  </si>
  <si>
    <t>UK</t>
  </si>
  <si>
    <t>Bilberry</t>
  </si>
  <si>
    <t>Bluewater</t>
  </si>
  <si>
    <t>Bostwick Pond I</t>
  </si>
  <si>
    <t>Bot</t>
  </si>
  <si>
    <t>South Africa</t>
  </si>
  <si>
    <t>O’Connor and Beebee (2009)</t>
  </si>
  <si>
    <t>Boydstown I</t>
  </si>
  <si>
    <t>Bradfield</t>
  </si>
  <si>
    <t>Break Neck Run</t>
  </si>
  <si>
    <t>Brownes Lake</t>
  </si>
  <si>
    <t>Buckhaven No.2</t>
  </si>
  <si>
    <t>Buffalo Creek</t>
  </si>
  <si>
    <t>Bullock Draw Dike</t>
  </si>
  <si>
    <t>Burney Creek</t>
  </si>
  <si>
    <t>Butler</t>
  </si>
  <si>
    <t>Froehlich(1995)</t>
  </si>
  <si>
    <t>Cangshan</t>
  </si>
  <si>
    <t>Castlewood</t>
  </si>
  <si>
    <t>Camp La Junta</t>
  </si>
  <si>
    <t>Camp Weona</t>
  </si>
  <si>
    <t>Canyon SD</t>
  </si>
  <si>
    <t>Cathena</t>
  </si>
  <si>
    <t>Australia</t>
  </si>
  <si>
    <t>Caulk Lake</t>
  </si>
  <si>
    <t>Centralia</t>
  </si>
  <si>
    <t>Changfenggao</t>
  </si>
  <si>
    <t>Chaoyang</t>
  </si>
  <si>
    <t>Cheaha Creek</t>
  </si>
  <si>
    <t>Chenying</t>
  </si>
  <si>
    <t>Chopper’s Lake</t>
  </si>
  <si>
    <t>Chuanshangou</t>
  </si>
  <si>
    <t>Clearwater Lake</t>
  </si>
  <si>
    <t>Froehlich(2008)</t>
  </si>
  <si>
    <t>Coedty</t>
  </si>
  <si>
    <t>Cougar Creek</t>
  </si>
  <si>
    <t>Canada</t>
  </si>
  <si>
    <t>Crisp County</t>
  </si>
  <si>
    <t>Dachongshan</t>
  </si>
  <si>
    <t>Dahe</t>
  </si>
  <si>
    <t>Daligou</t>
  </si>
  <si>
    <t>Daling</t>
  </si>
  <si>
    <t>Dalinbulige</t>
  </si>
  <si>
    <t>Dalizhuang</t>
  </si>
  <si>
    <t>Danghe</t>
  </si>
  <si>
    <t>L</t>
  </si>
  <si>
    <t>Dantiwada</t>
  </si>
  <si>
    <t>India</t>
  </si>
  <si>
    <t>S. Dhiman1 · K. C. Patra1(2019)</t>
  </si>
  <si>
    <t>Dashuijing</t>
  </si>
  <si>
    <t>Dawushan</t>
  </si>
  <si>
    <t>Davis Reservoir</t>
  </si>
  <si>
    <t>Delhi</t>
  </si>
  <si>
    <t>Dells</t>
  </si>
  <si>
    <t>Dixon Dam</t>
  </si>
  <si>
    <t>DMAD</t>
  </si>
  <si>
    <t>Dongchuankou</t>
  </si>
  <si>
    <t>Dongmak</t>
  </si>
  <si>
    <t>South Korea</t>
  </si>
  <si>
    <t>Dulang</t>
  </si>
  <si>
    <t>Dushan</t>
  </si>
  <si>
    <t>Dongjibadui</t>
  </si>
  <si>
    <t>East Fork Pond River</t>
  </si>
  <si>
    <t>East Lemmon</t>
  </si>
  <si>
    <t xml:space="preserve"> Elk City</t>
  </si>
  <si>
    <t>Emery</t>
  </si>
  <si>
    <t>Erlangmiao</t>
  </si>
  <si>
    <t>Euclides de Cunha</t>
  </si>
  <si>
    <t>Brazil</t>
  </si>
  <si>
    <t>FAFUM</t>
  </si>
  <si>
    <t>Germany</t>
  </si>
  <si>
    <t>Fengzhuang</t>
  </si>
  <si>
    <t>Fogelman</t>
  </si>
  <si>
    <t>Fort Pitt-II</t>
  </si>
  <si>
    <t>FP&amp;L Martin Plant</t>
  </si>
  <si>
    <t>Frankfurt</t>
  </si>
  <si>
    <t>Wahl (2014)</t>
  </si>
  <si>
    <t>Fred Burr</t>
  </si>
  <si>
    <t>Freddies Lake</t>
  </si>
  <si>
    <t>French Landing</t>
  </si>
  <si>
    <t>Frenchman Dam</t>
  </si>
  <si>
    <t>Frias</t>
  </si>
  <si>
    <t>Argentina</t>
  </si>
  <si>
    <t>Fujugong</t>
  </si>
  <si>
    <t>Gararda</t>
  </si>
  <si>
    <t>Ghurlijor</t>
  </si>
  <si>
    <t>Golf Course</t>
  </si>
  <si>
    <t>Goose Creek</t>
  </si>
  <si>
    <t>Zhong and Chen (2016)</t>
  </si>
  <si>
    <t>Gouhou</t>
  </si>
  <si>
    <t>Guolin</t>
  </si>
  <si>
    <t>Grand Rapids</t>
  </si>
  <si>
    <t>Haas Pond</t>
  </si>
  <si>
    <t>Haeker Dam</t>
  </si>
  <si>
    <t>Hall Lake Dam</t>
  </si>
  <si>
    <t>Hart</t>
  </si>
  <si>
    <t>Hästberga</t>
  </si>
  <si>
    <t>Swsden</t>
  </si>
  <si>
    <t>Hatchtown</t>
  </si>
  <si>
    <t>Haojiatai</t>
  </si>
  <si>
    <t>Hatfield</t>
  </si>
  <si>
    <t>Hazhuang</t>
  </si>
  <si>
    <t>Herbron</t>
  </si>
  <si>
    <t>Heiniugou</t>
  </si>
  <si>
    <t>Hell Hole</t>
  </si>
  <si>
    <t>Herrin</t>
  </si>
  <si>
    <t>Hongfei</t>
  </si>
  <si>
    <t>Horse Creek</t>
  </si>
  <si>
    <t>Houcao</t>
  </si>
  <si>
    <t>Hougou</t>
  </si>
  <si>
    <t>Houjiajie</t>
  </si>
  <si>
    <t>Houlinzi</t>
  </si>
  <si>
    <t>Huangdiling</t>
  </si>
  <si>
    <t>Huangtukan</t>
  </si>
  <si>
    <t>Huilong</t>
  </si>
  <si>
    <t>Huoshishan</t>
  </si>
  <si>
    <t>Huqitang</t>
  </si>
  <si>
    <t>Hutchinson Lake</t>
  </si>
  <si>
    <t>Huttos Lake</t>
  </si>
  <si>
    <t xml:space="preserve">IMPACT  </t>
  </si>
  <si>
    <t xml:space="preserve">IMPACT Field </t>
  </si>
  <si>
    <t xml:space="preserve">IMPACT Field 5 </t>
  </si>
  <si>
    <t>Lowa Beef Processors</t>
  </si>
  <si>
    <t>Ireland No. 5</t>
  </si>
  <si>
    <t>Jacobs Creek</t>
  </si>
  <si>
    <t>Jamuniya</t>
  </si>
  <si>
    <t>Jangheyeon</t>
  </si>
  <si>
    <t>Jan Land Company Lake</t>
  </si>
  <si>
    <t>J.B. Dunnell</t>
  </si>
  <si>
    <t>Jiahezi</t>
  </si>
  <si>
    <t>Jigongshan</t>
  </si>
  <si>
    <t>Johnson Lake</t>
  </si>
  <si>
    <t>Johnson Pond</t>
  </si>
  <si>
    <t>Johnston City</t>
  </si>
  <si>
    <t>Johnstown</t>
  </si>
  <si>
    <t>Kaddam</t>
  </si>
  <si>
    <t>Kaila</t>
  </si>
  <si>
    <t>Kelly Barnes</t>
  </si>
  <si>
    <t>Khadakwasla</t>
  </si>
  <si>
    <t>Knife Lake</t>
  </si>
  <si>
    <t>Xu (2010)</t>
  </si>
  <si>
    <t>Kodaganar</t>
  </si>
  <si>
    <t>Kraftsmens Lake</t>
  </si>
  <si>
    <t>Kuhongqi</t>
  </si>
  <si>
    <t>La Fruta</t>
  </si>
  <si>
    <t>Lake Avalon</t>
  </si>
  <si>
    <t>Lake Barcroft</t>
  </si>
  <si>
    <t>Lake Como</t>
  </si>
  <si>
    <t>Lake Frances</t>
  </si>
  <si>
    <t>Lake Genevieve</t>
  </si>
  <si>
    <t>Lake Latonka</t>
  </si>
  <si>
    <t>Lake Philema</t>
  </si>
  <si>
    <t>Lake Tanglewood</t>
  </si>
  <si>
    <t>Lake Vera</t>
  </si>
  <si>
    <t>Lambert Lake</t>
  </si>
  <si>
    <t>Laurel Run</t>
  </si>
  <si>
    <t>Lawn Lake</t>
  </si>
  <si>
    <t>Lijiaju</t>
  </si>
  <si>
    <t>Lily Lake</t>
  </si>
  <si>
    <t>Lingba</t>
  </si>
  <si>
    <t>Little Deer Creek</t>
  </si>
  <si>
    <t>Liujiatai</t>
  </si>
  <si>
    <t>Lizhutang</t>
  </si>
  <si>
    <t>Long Branch Canyon</t>
  </si>
  <si>
    <t>Longtun</t>
  </si>
  <si>
    <t>Lower Latham</t>
  </si>
  <si>
    <t>Lower Otay</t>
  </si>
  <si>
    <t>Lower Two Medicine</t>
  </si>
  <si>
    <t>Lyman</t>
  </si>
  <si>
    <t>Lynde Brook</t>
  </si>
  <si>
    <t>Machhu II</t>
  </si>
  <si>
    <t>Mahe</t>
  </si>
  <si>
    <t>Majiachong</t>
  </si>
  <si>
    <t>Mammoth</t>
  </si>
  <si>
    <t>Martin Cooling Pond Dike</t>
  </si>
  <si>
    <t>Melville</t>
  </si>
  <si>
    <t>Menno</t>
  </si>
  <si>
    <t>Merced Falls</t>
  </si>
  <si>
    <t>Merimac Lake</t>
  </si>
  <si>
    <t>Mhlanga</t>
  </si>
  <si>
    <t>Mill River</t>
  </si>
  <si>
    <t>Zhong and chen(2020)</t>
  </si>
  <si>
    <t>Monashka Creek</t>
  </si>
  <si>
    <t>Moss Mill Lake</t>
  </si>
  <si>
    <t>Mossy Lake</t>
  </si>
  <si>
    <t>Murtha Pond</t>
  </si>
  <si>
    <t>Nahzille</t>
  </si>
  <si>
    <t>Nanaksagar</t>
  </si>
  <si>
    <t>Nandgavan</t>
  </si>
  <si>
    <t>Nanliushui</t>
  </si>
  <si>
    <t>New Shoal Creek</t>
  </si>
  <si>
    <t>NHRI</t>
  </si>
  <si>
    <t>Nibazhai</t>
  </si>
  <si>
    <t>Niujiaoyu</t>
  </si>
  <si>
    <t>Noppikoski</t>
  </si>
  <si>
    <t>North Branch Trib</t>
  </si>
  <si>
    <t>Oakford Park</t>
  </si>
  <si>
    <t>Oros</t>
  </si>
  <si>
    <t>Otter Lake</t>
  </si>
  <si>
    <t>Otto Run</t>
  </si>
  <si>
    <t>Overholser</t>
  </si>
  <si>
    <t>P1</t>
  </si>
  <si>
    <t>Palem Vagu</t>
  </si>
  <si>
    <t>Panshet</t>
  </si>
  <si>
    <t>Peru</t>
  </si>
  <si>
    <t>Pickwick II</t>
  </si>
  <si>
    <t>Pierce Reservoir</t>
  </si>
  <si>
    <t>Pingyuan</t>
  </si>
  <si>
    <t>Porter Hill</t>
  </si>
  <si>
    <t>Potato Hill Lake</t>
  </si>
  <si>
    <t>Prospect</t>
  </si>
  <si>
    <t xml:space="preserve"> Xu and Zhang (2009)</t>
  </si>
  <si>
    <t>Puddingstone</t>
  </si>
  <si>
    <t>Puddle Pond</t>
  </si>
  <si>
    <t>Qielinggou</t>
  </si>
  <si>
    <t>Qingshengkoudui</t>
  </si>
  <si>
    <t>Qixin</t>
  </si>
  <si>
    <t>Quail Creek</t>
  </si>
  <si>
    <t>Quansheng</t>
  </si>
  <si>
    <t>Rainbow Lake</t>
  </si>
  <si>
    <t>Renegade Resort Lake</t>
  </si>
  <si>
    <t>Rito Manzanares</t>
  </si>
  <si>
    <t>Salles Oliveira</t>
  </si>
  <si>
    <t>Sandy Run</t>
  </si>
  <si>
    <t>Schaeffer</t>
  </si>
  <si>
    <t>Schenectady</t>
  </si>
  <si>
    <t>Scott Farm Dam No.2</t>
  </si>
  <si>
    <t>Scott Dam</t>
  </si>
  <si>
    <t>Sempor</t>
  </si>
  <si>
    <t>indonesia</t>
  </si>
  <si>
    <t>Shangliuzhuang</t>
  </si>
  <si>
    <t>Shanhu</t>
  </si>
  <si>
    <t>Shaohai</t>
  </si>
  <si>
    <t>Shazitang</t>
  </si>
  <si>
    <t xml:space="preserve"> DSMC of the Ministry of Water Resources (2018)</t>
  </si>
  <si>
    <t>Shedi</t>
  </si>
  <si>
    <t>Sheep Creek</t>
  </si>
  <si>
    <t>Shengshui</t>
  </si>
  <si>
    <t>Shibalong</t>
  </si>
  <si>
    <t xml:space="preserve">  DSMC of the Ministry of Water Resources (2018)</t>
  </si>
  <si>
    <t>Shilongshan</t>
  </si>
  <si>
    <t>Shimantan</t>
  </si>
  <si>
    <t>Shimatang</t>
  </si>
  <si>
    <t>Shuguanghu</t>
  </si>
  <si>
    <t>Shuixiang</t>
  </si>
  <si>
    <t>Sifangshan</t>
  </si>
  <si>
    <t>Sinker Creek</t>
  </si>
  <si>
    <t xml:space="preserve"> Wahl (1998)</t>
  </si>
  <si>
    <t>South Eden</t>
  </si>
  <si>
    <t>South Fork</t>
  </si>
  <si>
    <t>Spring Lake</t>
  </si>
  <si>
    <t>Statham Lake</t>
  </si>
  <si>
    <t>Stevens Lake</t>
  </si>
  <si>
    <t>Swift</t>
  </si>
  <si>
    <t xml:space="preserve"> Wahl (2014)</t>
  </si>
  <si>
    <t>Taikang</t>
  </si>
  <si>
    <t>Taum Sauk Reservior</t>
  </si>
  <si>
    <t>FD</t>
  </si>
  <si>
    <r>
      <rPr>
        <sz val="14"/>
        <color theme="1"/>
        <rFont val="Times New Roman"/>
        <charset val="134"/>
      </rPr>
      <t>Teton/</t>
    </r>
    <r>
      <rPr>
        <sz val="14"/>
        <color theme="1"/>
        <rFont val="宋体"/>
        <charset val="134"/>
      </rPr>
      <t>心墙材料参数</t>
    </r>
  </si>
  <si>
    <t>Thomas Pond</t>
  </si>
  <si>
    <t>Tiemusi</t>
  </si>
  <si>
    <t>Timberlake</t>
  </si>
  <si>
    <t>Tomkins Lake III</t>
  </si>
  <si>
    <t>Tongshuyuan</t>
  </si>
  <si>
    <t>Trial Lake</t>
  </si>
  <si>
    <t>Trout Lake</t>
  </si>
  <si>
    <t>Upper Pond</t>
  </si>
  <si>
    <t>USDA-ARS EISI</t>
  </si>
  <si>
    <t>Utica Reservoir</t>
  </si>
  <si>
    <t>Vance Lake</t>
  </si>
  <si>
    <t>Wachanggou</t>
  </si>
  <si>
    <t xml:space="preserve"> Xu (2010)</t>
  </si>
  <si>
    <t>Wamberal</t>
  </si>
  <si>
    <t>Wanshangang</t>
  </si>
  <si>
    <t>Wenzan</t>
  </si>
  <si>
    <t>Wheatland No.1</t>
  </si>
  <si>
    <t>Wilkinson Lake</t>
  </si>
  <si>
    <t>Winston</t>
  </si>
  <si>
    <t>Wurenban</t>
  </si>
  <si>
    <t>Xianjin</t>
  </si>
  <si>
    <t>Xiaohexi</t>
  </si>
  <si>
    <t>Xiaomeigang</t>
  </si>
  <si>
    <t>Xiaotaipinghe</t>
  </si>
  <si>
    <t>Xifengnian</t>
  </si>
  <si>
    <t>Xigou</t>
  </si>
  <si>
    <t>Yangbaogou</t>
  </si>
  <si>
    <t>Yankou</t>
  </si>
  <si>
    <t>Yiheao</t>
  </si>
  <si>
    <t>Yongfa</t>
  </si>
  <si>
    <t>Youcaikou</t>
  </si>
  <si>
    <t>Yuanmen</t>
  </si>
  <si>
    <t>Yushuiling</t>
  </si>
  <si>
    <t>Zhangjiajie</t>
  </si>
  <si>
    <t>Zhaolixi</t>
  </si>
  <si>
    <t>Zhimu</t>
  </si>
  <si>
    <t>Zhonghuaju</t>
  </si>
  <si>
    <t>Zhugou</t>
  </si>
  <si>
    <t>Zuocun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</si>
</sst>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m/d/yyyy;@"/>
    <numFmt numFmtId="178" formatCode="0.000_);[Red]\(0.000\)"/>
  </numFmts>
  <fonts count="33">
    <font>
      <sz val="11"/>
      <color theme="1"/>
      <name val="等线"/>
      <charset val="134"/>
      <scheme val="minor"/>
    </font>
    <font>
      <sz val="14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宋体"/>
      <charset val="134"/>
    </font>
    <font>
      <sz val="10.5"/>
      <color theme="1"/>
      <name val="Times New Roman"/>
      <charset val="134"/>
    </font>
    <font>
      <sz val="12"/>
      <color theme="1"/>
      <name val="等线"/>
      <charset val="134"/>
      <scheme val="minor"/>
    </font>
    <font>
      <vertAlign val="superscript"/>
      <sz val="10"/>
      <color theme="1"/>
      <name val="Times New Roman"/>
      <charset val="134"/>
    </font>
    <font>
      <vertAlign val="superscript"/>
      <sz val="9"/>
      <color theme="1"/>
      <name val="Times New Roman"/>
      <charset val="134"/>
    </font>
    <font>
      <sz val="9"/>
      <color theme="1"/>
      <name val="Times New Roman"/>
      <charset val="134"/>
    </font>
    <font>
      <sz val="11"/>
      <color theme="1"/>
      <name val="Times New Roman"/>
      <charset val="134"/>
    </font>
    <font>
      <sz val="14"/>
      <color rgb="FFFF0000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8"/>
      <color theme="1"/>
      <name val="宋体"/>
      <charset val="134"/>
    </font>
    <font>
      <vertAlign val="superscript"/>
      <sz val="10.5"/>
      <color theme="1"/>
      <name val="Times New Roman"/>
      <charset val="134"/>
    </font>
    <font>
      <sz val="14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9" borderId="4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2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2" fontId="1" fillId="0" borderId="0" xfId="0" applyNumberFormat="1" applyFont="1" applyAlignment="1">
      <alignment horizontal="center" vertical="top" shrinkToFit="1"/>
    </xf>
    <xf numFmtId="11" fontId="1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3" fontId="1" fillId="0" borderId="0" xfId="0" applyNumberFormat="1" applyFont="1" applyAlignment="1">
      <alignment horizontal="center" vertical="top" shrinkToFit="1"/>
    </xf>
    <xf numFmtId="176" fontId="1" fillId="0" borderId="0" xfId="0" applyNumberFormat="1" applyFont="1" applyAlignment="1">
      <alignment horizontal="center" vertical="top" shrinkToFit="1"/>
    </xf>
    <xf numFmtId="1" fontId="1" fillId="0" borderId="0" xfId="0" applyNumberFormat="1" applyFont="1" applyAlignment="1">
      <alignment horizontal="center" vertical="top" shrinkToFit="1"/>
    </xf>
    <xf numFmtId="11" fontId="1" fillId="0" borderId="0" xfId="0" applyNumberFormat="1" applyFont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top" wrapText="1"/>
    </xf>
    <xf numFmtId="2" fontId="1" fillId="2" borderId="0" xfId="0" applyNumberFormat="1" applyFont="1" applyFill="1" applyAlignment="1">
      <alignment horizontal="center" vertical="top" shrinkToFit="1"/>
    </xf>
    <xf numFmtId="11" fontId="1" fillId="2" borderId="0" xfId="0" applyNumberFormat="1" applyFont="1" applyFill="1" applyAlignment="1">
      <alignment horizontal="center" vertical="top" wrapText="1"/>
    </xf>
    <xf numFmtId="2" fontId="1" fillId="2" borderId="0" xfId="0" applyNumberFormat="1" applyFont="1" applyFill="1" applyAlignment="1">
      <alignment horizontal="center" vertical="top" wrapText="1"/>
    </xf>
    <xf numFmtId="3" fontId="1" fillId="2" borderId="0" xfId="0" applyNumberFormat="1" applyFont="1" applyFill="1" applyAlignment="1">
      <alignment horizontal="center" vertical="top" shrinkToFit="1"/>
    </xf>
    <xf numFmtId="1" fontId="1" fillId="2" borderId="0" xfId="0" applyNumberFormat="1" applyFont="1" applyFill="1" applyAlignment="1">
      <alignment horizontal="center" vertical="top" shrinkToFit="1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top" wrapText="1"/>
    </xf>
    <xf numFmtId="11" fontId="1" fillId="6" borderId="0" xfId="0" applyNumberFormat="1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center"/>
    </xf>
    <xf numFmtId="3" fontId="1" fillId="6" borderId="0" xfId="0" applyNumberFormat="1" applyFont="1" applyFill="1" applyAlignment="1">
      <alignment horizontal="center" vertical="top" shrinkToFit="1"/>
    </xf>
    <xf numFmtId="2" fontId="1" fillId="6" borderId="0" xfId="0" applyNumberFormat="1" applyFont="1" applyFill="1" applyAlignment="1">
      <alignment horizontal="center" vertical="top" shrinkToFit="1"/>
    </xf>
    <xf numFmtId="1" fontId="1" fillId="6" borderId="0" xfId="0" applyNumberFormat="1" applyFont="1" applyFill="1" applyAlignment="1">
      <alignment horizontal="center" vertical="top" shrinkToFit="1"/>
    </xf>
    <xf numFmtId="0" fontId="10" fillId="0" borderId="0" xfId="0" applyFont="1" applyAlignment="1">
      <alignment horizontal="center" vertical="top" wrapText="1"/>
    </xf>
    <xf numFmtId="11" fontId="1" fillId="6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2" fontId="1" fillId="6" borderId="0" xfId="0" applyNumberFormat="1" applyFont="1" applyFill="1" applyAlignment="1">
      <alignment horizontal="center" vertical="center"/>
    </xf>
    <xf numFmtId="11" fontId="1" fillId="6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11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0" fillId="6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center"/>
    </xf>
    <xf numFmtId="11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6600"/>
      <color rgb="00FF99FF"/>
      <color rgb="0099CCFF"/>
      <color rgb="00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nlongli@xaut.edu.cn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98"/>
  <sheetViews>
    <sheetView tabSelected="1" zoomScale="70" zoomScaleNormal="70" workbookViewId="0">
      <pane ySplit="12" topLeftCell="A13" activePane="bottomLeft" state="frozen"/>
      <selection/>
      <selection pane="bottomLeft" activeCell="R6" sqref="R6"/>
    </sheetView>
  </sheetViews>
  <sheetFormatPr defaultColWidth="9" defaultRowHeight="18"/>
  <cols>
    <col min="1" max="1" width="6.5" style="4" customWidth="1"/>
    <col min="2" max="2" width="26.75" style="4" customWidth="1"/>
    <col min="3" max="3" width="13.875" style="4" customWidth="1"/>
    <col min="4" max="4" width="7.875" style="4" customWidth="1"/>
    <col min="5" max="5" width="10.75" style="4" customWidth="1"/>
    <col min="6" max="6" width="12.25" style="5" customWidth="1"/>
    <col min="7" max="7" width="12.25" style="4" customWidth="1"/>
    <col min="8" max="9" width="8.5" style="4" customWidth="1"/>
    <col min="10" max="10" width="8.75" style="4" customWidth="1"/>
    <col min="11" max="11" width="9.125" style="4" customWidth="1"/>
    <col min="12" max="12" width="7.25" style="4" customWidth="1"/>
    <col min="13" max="13" width="9.125" style="5" hidden="1" customWidth="1"/>
    <col min="14" max="14" width="8.75" style="5" hidden="1" customWidth="1"/>
    <col min="15" max="15" width="8.75" style="5" customWidth="1"/>
    <col min="16" max="16" width="9.375" style="5" customWidth="1"/>
    <col min="17" max="17" width="14" style="4" customWidth="1"/>
    <col min="18" max="18" width="8.25" style="4" customWidth="1"/>
    <col min="19" max="19" width="12" style="4" customWidth="1"/>
    <col min="20" max="20" width="51.25" style="4" customWidth="1"/>
    <col min="21" max="16384" width="9" style="6"/>
  </cols>
  <sheetData>
    <row r="1" ht="23" spans="1:31">
      <c r="B1" s="7" t="s">
        <v>0</v>
      </c>
    </row>
    <row r="2" ht="22.5" spans="1:31">
      <c r="B2" s="7" t="s">
        <v>1</v>
      </c>
    </row>
    <row r="3" spans="1:31">
      <c r="B3" s="8" t="s">
        <v>2</v>
      </c>
    </row>
    <row r="4" spans="1:31">
      <c r="B4" s="9" t="s">
        <v>3</v>
      </c>
    </row>
    <row r="5" spans="1:31">
      <c r="B5" s="10" t="s">
        <v>2</v>
      </c>
    </row>
    <row r="6" spans="1:31">
      <c r="B6" s="11" t="s">
        <v>4</v>
      </c>
    </row>
    <row r="7" spans="1:31">
      <c r="B7" s="12" t="s">
        <v>5</v>
      </c>
    </row>
    <row r="8" spans="1:31">
      <c r="B8" s="13" t="s">
        <v>2</v>
      </c>
    </row>
    <row r="9" spans="1:31">
      <c r="B9" s="14" t="s">
        <v>6</v>
      </c>
    </row>
    <row r="12" s="1" customFormat="1" ht="16.5" customHeight="1" spans="1:31">
      <c r="A12" s="4" t="s">
        <v>7</v>
      </c>
      <c r="B12" s="4" t="s">
        <v>8</v>
      </c>
      <c r="C12" s="4" t="s">
        <v>9</v>
      </c>
      <c r="D12" s="15" t="s">
        <v>10</v>
      </c>
      <c r="E12" s="15" t="s">
        <v>11</v>
      </c>
      <c r="F12" s="16" t="s">
        <v>12</v>
      </c>
      <c r="G12" s="15" t="s">
        <v>13</v>
      </c>
      <c r="H12" s="15" t="s">
        <v>14</v>
      </c>
      <c r="I12" s="15" t="s">
        <v>15</v>
      </c>
      <c r="J12" s="15" t="s">
        <v>16</v>
      </c>
      <c r="K12" s="15" t="s">
        <v>17</v>
      </c>
      <c r="L12" s="15" t="s">
        <v>18</v>
      </c>
      <c r="M12" s="16" t="s">
        <v>19</v>
      </c>
      <c r="N12" s="16" t="s">
        <v>20</v>
      </c>
      <c r="O12" s="16" t="s">
        <v>21</v>
      </c>
      <c r="P12" s="17" t="s">
        <v>22</v>
      </c>
      <c r="Q12" s="18" t="s">
        <v>23</v>
      </c>
      <c r="R12" s="18" t="s">
        <v>24</v>
      </c>
      <c r="S12" s="18" t="s">
        <v>25</v>
      </c>
      <c r="T12" s="4" t="s">
        <v>26</v>
      </c>
      <c r="U12" s="19"/>
      <c r="V12" s="19"/>
      <c r="W12" s="19"/>
      <c r="AE12" s="19"/>
    </row>
    <row r="13" spans="1:31">
      <c r="A13" s="4">
        <f>ROW()-1</f>
        <v>12</v>
      </c>
      <c r="B13" s="20" t="s">
        <v>27</v>
      </c>
      <c r="C13" s="21" t="s">
        <v>28</v>
      </c>
      <c r="D13" s="21" t="s">
        <v>29</v>
      </c>
      <c r="E13" s="21" t="s">
        <v>30</v>
      </c>
      <c r="F13" s="22">
        <v>34.14</v>
      </c>
      <c r="G13" s="23">
        <v>22500000</v>
      </c>
      <c r="H13" s="21">
        <v>0.005</v>
      </c>
      <c r="I13" s="21">
        <v>0.3</v>
      </c>
      <c r="J13" s="21">
        <v>60</v>
      </c>
      <c r="K13" s="21">
        <v>0.6</v>
      </c>
      <c r="L13" s="21">
        <v>40</v>
      </c>
      <c r="M13" s="24">
        <v>0.33</v>
      </c>
      <c r="N13" s="24">
        <v>0.5</v>
      </c>
      <c r="O13" s="24" t="s">
        <v>31</v>
      </c>
      <c r="P13" s="22">
        <v>31.1</v>
      </c>
      <c r="Q13" s="25">
        <v>6850</v>
      </c>
      <c r="R13" s="26">
        <v>86.5</v>
      </c>
      <c r="S13" s="21">
        <v>2.5</v>
      </c>
      <c r="T13" s="21" t="s">
        <v>32</v>
      </c>
      <c r="X13" s="6" t="s">
        <v>33</v>
      </c>
    </row>
    <row r="14" spans="1:31">
      <c r="A14" s="4">
        <f t="shared" ref="A14:A75" si="0">ROW()-1</f>
        <v>13</v>
      </c>
      <c r="B14" s="21" t="s">
        <v>34</v>
      </c>
      <c r="C14" s="21" t="s">
        <v>35</v>
      </c>
      <c r="D14" s="21" t="s">
        <v>36</v>
      </c>
      <c r="E14" s="21" t="s">
        <v>30</v>
      </c>
      <c r="F14" s="22">
        <v>6.6</v>
      </c>
      <c r="G14" s="23">
        <v>100000</v>
      </c>
      <c r="H14" s="21"/>
      <c r="I14" s="21"/>
      <c r="J14" s="21"/>
      <c r="K14" s="21"/>
      <c r="L14" s="21"/>
      <c r="M14" s="24"/>
      <c r="N14" s="24"/>
      <c r="O14" s="24"/>
      <c r="P14" s="22">
        <v>6.6</v>
      </c>
      <c r="Q14" s="27">
        <v>150</v>
      </c>
      <c r="R14" s="21"/>
      <c r="S14" s="21"/>
      <c r="T14" s="4" t="s">
        <v>37</v>
      </c>
    </row>
    <row r="15" spans="1:31">
      <c r="A15" s="4">
        <f t="shared" si="0"/>
        <v>14</v>
      </c>
      <c r="B15" s="21" t="s">
        <v>38</v>
      </c>
      <c r="C15" s="21" t="s">
        <v>35</v>
      </c>
      <c r="D15" s="21" t="s">
        <v>36</v>
      </c>
      <c r="E15" s="21" t="s">
        <v>30</v>
      </c>
      <c r="F15" s="22">
        <v>8</v>
      </c>
      <c r="G15" s="23">
        <v>200000</v>
      </c>
      <c r="H15" s="21"/>
      <c r="I15" s="21"/>
      <c r="J15" s="21"/>
      <c r="K15" s="21"/>
      <c r="L15" s="21"/>
      <c r="M15" s="24"/>
      <c r="N15" s="24"/>
      <c r="O15" s="24" t="s">
        <v>39</v>
      </c>
      <c r="P15" s="22">
        <v>8</v>
      </c>
      <c r="Q15" s="21"/>
      <c r="R15" s="21"/>
      <c r="S15" s="21"/>
      <c r="T15" s="4" t="s">
        <v>40</v>
      </c>
    </row>
    <row r="16" spans="1:31">
      <c r="A16" s="4">
        <f t="shared" si="0"/>
        <v>15</v>
      </c>
      <c r="B16" s="4" t="s">
        <v>41</v>
      </c>
      <c r="C16" s="4" t="s">
        <v>35</v>
      </c>
      <c r="D16" s="4" t="s">
        <v>36</v>
      </c>
      <c r="E16" s="4" t="s">
        <v>42</v>
      </c>
      <c r="F16" s="5">
        <v>27</v>
      </c>
      <c r="G16" s="28">
        <v>1060000</v>
      </c>
      <c r="P16" s="5">
        <v>27</v>
      </c>
      <c r="Q16" s="4">
        <v>9790</v>
      </c>
      <c r="R16" s="21"/>
      <c r="S16" s="21"/>
      <c r="T16" s="4" t="s">
        <v>37</v>
      </c>
    </row>
    <row r="17" spans="1:20">
      <c r="A17" s="4">
        <f t="shared" si="0"/>
        <v>16</v>
      </c>
      <c r="B17" s="4" t="s">
        <v>43</v>
      </c>
      <c r="C17" s="4" t="s">
        <v>35</v>
      </c>
      <c r="D17" s="4" t="s">
        <v>36</v>
      </c>
      <c r="E17" s="4" t="s">
        <v>30</v>
      </c>
      <c r="F17" s="5">
        <v>9</v>
      </c>
      <c r="G17" s="28">
        <v>980000</v>
      </c>
      <c r="P17" s="5">
        <v>9</v>
      </c>
      <c r="Q17" s="4">
        <v>438</v>
      </c>
      <c r="R17" s="21"/>
      <c r="S17" s="21"/>
      <c r="T17" s="4" t="s">
        <v>37</v>
      </c>
    </row>
    <row r="18" spans="1:20">
      <c r="A18" s="4">
        <f t="shared" si="0"/>
        <v>17</v>
      </c>
      <c r="B18" s="29" t="s">
        <v>44</v>
      </c>
      <c r="C18" s="21" t="s">
        <v>28</v>
      </c>
      <c r="D18" s="21" t="s">
        <v>29</v>
      </c>
      <c r="E18" s="21" t="s">
        <v>30</v>
      </c>
      <c r="F18" s="22">
        <v>71</v>
      </c>
      <c r="G18" s="23">
        <v>1100000</v>
      </c>
      <c r="H18" s="21">
        <v>0.03</v>
      </c>
      <c r="I18" s="21">
        <v>0.3</v>
      </c>
      <c r="J18" s="21">
        <v>60</v>
      </c>
      <c r="K18" s="21">
        <v>0.7</v>
      </c>
      <c r="L18" s="21">
        <v>40</v>
      </c>
      <c r="M18" s="24">
        <v>0.5</v>
      </c>
      <c r="N18" s="24">
        <v>0.6</v>
      </c>
      <c r="O18" s="24"/>
      <c r="P18" s="22">
        <v>21.3</v>
      </c>
      <c r="Q18" s="25">
        <v>1130</v>
      </c>
      <c r="R18" s="27">
        <v>25</v>
      </c>
      <c r="S18" s="26">
        <v>1.3</v>
      </c>
      <c r="T18" s="21" t="s">
        <v>32</v>
      </c>
    </row>
    <row r="19" spans="1:20">
      <c r="A19" s="4">
        <f t="shared" si="0"/>
        <v>18</v>
      </c>
      <c r="B19" s="30" t="s">
        <v>45</v>
      </c>
      <c r="C19" s="30" t="s">
        <v>35</v>
      </c>
      <c r="D19" s="30" t="s">
        <v>36</v>
      </c>
      <c r="E19" s="30" t="s">
        <v>42</v>
      </c>
      <c r="F19" s="31">
        <v>24.5</v>
      </c>
      <c r="G19" s="32">
        <v>492000000</v>
      </c>
      <c r="H19" s="30">
        <v>0.185084134615385</v>
      </c>
      <c r="I19" s="30">
        <v>0.3</v>
      </c>
      <c r="J19" s="30">
        <v>2.63221153846154</v>
      </c>
      <c r="K19" s="30">
        <v>0.48859375</v>
      </c>
      <c r="L19" s="30">
        <v>3.50961538461538</v>
      </c>
      <c r="M19" s="33">
        <v>0.25</v>
      </c>
      <c r="N19" s="33">
        <v>0.25</v>
      </c>
      <c r="O19" s="33" t="s">
        <v>31</v>
      </c>
      <c r="P19" s="31">
        <v>29.5</v>
      </c>
      <c r="Q19" s="34">
        <v>78100</v>
      </c>
      <c r="R19" s="35">
        <v>291</v>
      </c>
      <c r="S19" s="30">
        <v>5.5</v>
      </c>
      <c r="T19" s="30" t="s">
        <v>46</v>
      </c>
    </row>
    <row r="20" spans="1:20">
      <c r="A20" s="4">
        <f t="shared" si="0"/>
        <v>19</v>
      </c>
      <c r="B20" s="36" t="s">
        <v>47</v>
      </c>
      <c r="C20" s="36" t="s">
        <v>28</v>
      </c>
      <c r="D20" s="37"/>
      <c r="E20" s="37"/>
      <c r="F20" s="36">
        <v>6.1</v>
      </c>
      <c r="G20" s="38"/>
      <c r="H20" s="37"/>
      <c r="I20" s="37"/>
      <c r="J20" s="37"/>
      <c r="K20" s="37"/>
      <c r="L20" s="37"/>
      <c r="M20" s="37"/>
      <c r="N20" s="37"/>
      <c r="O20" s="37"/>
      <c r="P20" s="39">
        <v>6.1</v>
      </c>
      <c r="Q20" s="40"/>
      <c r="R20" s="39">
        <v>9.2</v>
      </c>
      <c r="S20" s="37"/>
      <c r="T20" s="37"/>
    </row>
    <row r="21" s="2" customFormat="1" spans="1:20">
      <c r="A21" s="1">
        <f t="shared" si="0"/>
        <v>20</v>
      </c>
      <c r="B21" s="37" t="s">
        <v>48</v>
      </c>
      <c r="C21" s="37" t="s">
        <v>28</v>
      </c>
      <c r="D21" s="37" t="s">
        <v>36</v>
      </c>
      <c r="E21" s="37" t="s">
        <v>30</v>
      </c>
      <c r="F21" s="41"/>
      <c r="G21" s="38"/>
      <c r="H21" s="37"/>
      <c r="I21" s="37"/>
      <c r="J21" s="37"/>
      <c r="K21" s="37"/>
      <c r="L21" s="37"/>
      <c r="M21" s="37"/>
      <c r="N21" s="37"/>
      <c r="O21" s="37"/>
      <c r="P21" s="41">
        <v>9.2</v>
      </c>
      <c r="Q21" s="40">
        <v>240</v>
      </c>
      <c r="R21" s="42"/>
      <c r="S21" s="37"/>
      <c r="T21" s="39" t="s">
        <v>49</v>
      </c>
    </row>
    <row r="22" spans="1:20">
      <c r="A22" s="4">
        <f t="shared" si="0"/>
        <v>21</v>
      </c>
      <c r="B22" s="21" t="s">
        <v>50</v>
      </c>
      <c r="C22" s="21" t="s">
        <v>35</v>
      </c>
      <c r="D22" s="21" t="s">
        <v>29</v>
      </c>
      <c r="E22" s="21" t="s">
        <v>30</v>
      </c>
      <c r="F22" s="22">
        <v>30</v>
      </c>
      <c r="G22" s="23">
        <v>30000000</v>
      </c>
      <c r="H22" s="21"/>
      <c r="I22" s="21"/>
      <c r="J22" s="21"/>
      <c r="K22" s="21"/>
      <c r="L22" s="21"/>
      <c r="M22" s="24"/>
      <c r="N22" s="24"/>
      <c r="O22" s="24" t="s">
        <v>39</v>
      </c>
      <c r="P22" s="22">
        <v>30</v>
      </c>
      <c r="Q22" s="25">
        <v>5000</v>
      </c>
      <c r="R22" s="27">
        <v>40</v>
      </c>
      <c r="S22" s="21"/>
      <c r="T22" s="21" t="s">
        <v>40</v>
      </c>
    </row>
    <row r="23" spans="1:20">
      <c r="A23" s="4">
        <f t="shared" si="0"/>
        <v>22</v>
      </c>
      <c r="B23" s="21" t="s">
        <v>51</v>
      </c>
      <c r="C23" s="21" t="s">
        <v>28</v>
      </c>
      <c r="D23" s="21" t="s">
        <v>29</v>
      </c>
      <c r="E23" s="21" t="s">
        <v>30</v>
      </c>
      <c r="F23" s="22">
        <v>10</v>
      </c>
      <c r="G23" s="23">
        <v>49300</v>
      </c>
      <c r="H23" s="21"/>
      <c r="I23" s="21"/>
      <c r="J23" s="21"/>
      <c r="K23" s="21"/>
      <c r="L23" s="21"/>
      <c r="M23" s="24"/>
      <c r="N23" s="24"/>
      <c r="O23" s="24"/>
      <c r="P23" s="22">
        <v>6.4</v>
      </c>
      <c r="Q23" s="21"/>
      <c r="R23" s="26">
        <v>12.2</v>
      </c>
      <c r="S23" s="21"/>
      <c r="T23" s="21" t="s">
        <v>52</v>
      </c>
    </row>
    <row r="24" spans="1:20">
      <c r="A24" s="4">
        <f t="shared" si="0"/>
        <v>23</v>
      </c>
      <c r="B24" s="4" t="s">
        <v>53</v>
      </c>
      <c r="C24" s="4" t="s">
        <v>54</v>
      </c>
      <c r="D24" s="4" t="s">
        <v>36</v>
      </c>
      <c r="E24" s="4" t="s">
        <v>42</v>
      </c>
      <c r="M24" s="4"/>
      <c r="N24" s="4"/>
      <c r="O24" s="4"/>
      <c r="P24" s="5">
        <v>15</v>
      </c>
      <c r="Q24" s="4">
        <v>4700</v>
      </c>
      <c r="T24" s="4" t="s">
        <v>49</v>
      </c>
    </row>
    <row r="25" spans="1:20">
      <c r="A25" s="4">
        <f t="shared" si="0"/>
        <v>24</v>
      </c>
      <c r="B25" s="21" t="s">
        <v>55</v>
      </c>
      <c r="C25" s="21" t="s">
        <v>28</v>
      </c>
      <c r="D25" s="21" t="s">
        <v>29</v>
      </c>
      <c r="E25" s="21" t="s">
        <v>30</v>
      </c>
      <c r="F25" s="22">
        <v>15.64</v>
      </c>
      <c r="G25" s="21"/>
      <c r="H25" s="21"/>
      <c r="I25" s="21"/>
      <c r="J25" s="21"/>
      <c r="K25" s="21"/>
      <c r="L25" s="21"/>
      <c r="M25" s="21"/>
      <c r="N25" s="21"/>
      <c r="O25" s="21"/>
      <c r="P25" s="22">
        <v>14</v>
      </c>
      <c r="Q25" s="25">
        <v>4160</v>
      </c>
      <c r="R25" s="27">
        <v>70</v>
      </c>
      <c r="S25" s="27">
        <v>1</v>
      </c>
      <c r="T25" s="4" t="s">
        <v>49</v>
      </c>
    </row>
    <row r="26" spans="1:20">
      <c r="A26" s="4">
        <f t="shared" si="0"/>
        <v>25</v>
      </c>
      <c r="B26" s="21" t="s">
        <v>56</v>
      </c>
      <c r="C26" s="21" t="s">
        <v>57</v>
      </c>
      <c r="D26" s="21" t="s">
        <v>29</v>
      </c>
      <c r="E26" s="21" t="s">
        <v>30</v>
      </c>
      <c r="F26" s="22"/>
      <c r="G26" s="21"/>
      <c r="H26" s="21"/>
      <c r="I26" s="21"/>
      <c r="J26" s="21"/>
      <c r="K26" s="21"/>
      <c r="L26" s="21"/>
      <c r="M26" s="21"/>
      <c r="N26" s="21"/>
      <c r="O26" s="21"/>
      <c r="P26" s="22">
        <v>14.6</v>
      </c>
      <c r="Q26" s="25">
        <v>320</v>
      </c>
      <c r="R26" s="27"/>
      <c r="S26" s="27"/>
      <c r="T26" s="4" t="s">
        <v>49</v>
      </c>
    </row>
    <row r="27" spans="1:20">
      <c r="A27" s="4">
        <f t="shared" si="0"/>
        <v>26</v>
      </c>
      <c r="B27" s="21" t="s">
        <v>58</v>
      </c>
      <c r="C27" s="21" t="s">
        <v>57</v>
      </c>
      <c r="D27" s="21" t="s">
        <v>36</v>
      </c>
      <c r="E27" s="43" t="s">
        <v>42</v>
      </c>
      <c r="F27" s="22"/>
      <c r="G27" s="21"/>
      <c r="H27" s="21"/>
      <c r="I27" s="21"/>
      <c r="J27" s="21"/>
      <c r="K27" s="21"/>
      <c r="L27" s="21"/>
      <c r="M27" s="21"/>
      <c r="N27" s="21"/>
      <c r="O27" s="21"/>
      <c r="P27" s="22">
        <v>23</v>
      </c>
      <c r="Q27" s="25">
        <v>725</v>
      </c>
      <c r="R27" s="27"/>
      <c r="S27" s="27"/>
      <c r="T27" s="4" t="s">
        <v>49</v>
      </c>
    </row>
    <row r="28" spans="1:20">
      <c r="A28" s="4">
        <f t="shared" si="0"/>
        <v>27</v>
      </c>
      <c r="B28" s="36" t="s">
        <v>59</v>
      </c>
      <c r="C28" s="36" t="s">
        <v>28</v>
      </c>
      <c r="D28" s="37"/>
      <c r="E28" s="37"/>
      <c r="F28" s="36">
        <v>4.6</v>
      </c>
      <c r="G28" s="44">
        <v>3200000</v>
      </c>
      <c r="H28" s="37"/>
      <c r="I28" s="37"/>
      <c r="J28" s="37"/>
      <c r="K28" s="37"/>
      <c r="L28" s="37"/>
      <c r="M28" s="37"/>
      <c r="N28" s="37"/>
      <c r="O28" s="37"/>
      <c r="P28" s="41"/>
      <c r="Q28" s="40"/>
      <c r="R28" s="39">
        <v>39</v>
      </c>
      <c r="S28" s="42">
        <v>2.2</v>
      </c>
      <c r="T28" s="39"/>
    </row>
    <row r="29" spans="1:20">
      <c r="A29" s="4">
        <f t="shared" si="0"/>
        <v>28</v>
      </c>
      <c r="B29" s="36" t="s">
        <v>60</v>
      </c>
      <c r="C29" s="36" t="s">
        <v>28</v>
      </c>
      <c r="D29" s="37"/>
      <c r="E29" s="37" t="s">
        <v>30</v>
      </c>
      <c r="F29" s="36">
        <v>4</v>
      </c>
      <c r="G29" s="44"/>
      <c r="H29" s="37"/>
      <c r="I29" s="37"/>
      <c r="J29" s="37"/>
      <c r="K29" s="37"/>
      <c r="L29" s="37"/>
      <c r="M29" s="37"/>
      <c r="N29" s="37"/>
      <c r="O29" s="37"/>
      <c r="P29" s="41"/>
      <c r="Q29" s="40"/>
      <c r="R29" s="39">
        <v>7.6</v>
      </c>
      <c r="S29" s="42"/>
      <c r="T29" s="39"/>
    </row>
    <row r="30" spans="1:20">
      <c r="A30" s="4">
        <f t="shared" si="0"/>
        <v>29</v>
      </c>
      <c r="B30" s="21" t="s">
        <v>61</v>
      </c>
      <c r="C30" s="21" t="s">
        <v>62</v>
      </c>
      <c r="D30" s="21" t="s">
        <v>36</v>
      </c>
      <c r="E30" s="21" t="s">
        <v>30</v>
      </c>
      <c r="F30" s="22">
        <v>2.7</v>
      </c>
      <c r="G30" s="23">
        <v>30000000</v>
      </c>
      <c r="H30" s="21"/>
      <c r="I30" s="21"/>
      <c r="J30" s="21"/>
      <c r="K30" s="21"/>
      <c r="L30" s="21"/>
      <c r="M30" s="24"/>
      <c r="N30" s="24"/>
      <c r="O30" s="24"/>
      <c r="P30" s="22">
        <v>2.7</v>
      </c>
      <c r="Q30" s="27">
        <v>330</v>
      </c>
      <c r="R30" s="21"/>
      <c r="S30" s="21"/>
      <c r="T30" s="21" t="s">
        <v>63</v>
      </c>
    </row>
    <row r="31" spans="1:20">
      <c r="A31" s="4">
        <f t="shared" si="0"/>
        <v>30</v>
      </c>
      <c r="B31" s="36" t="s">
        <v>64</v>
      </c>
      <c r="C31" s="36" t="s">
        <v>28</v>
      </c>
      <c r="D31" s="37"/>
      <c r="E31" s="37" t="s">
        <v>30</v>
      </c>
      <c r="F31" s="41">
        <v>7.4</v>
      </c>
      <c r="G31" s="38"/>
      <c r="H31" s="37"/>
      <c r="I31" s="37"/>
      <c r="J31" s="37"/>
      <c r="K31" s="37"/>
      <c r="L31" s="37"/>
      <c r="M31" s="37"/>
      <c r="N31" s="37"/>
      <c r="O31" s="37"/>
      <c r="P31" s="41"/>
      <c r="Q31" s="42"/>
      <c r="R31" s="37">
        <v>30.5</v>
      </c>
      <c r="S31" s="37"/>
      <c r="T31" s="37"/>
    </row>
    <row r="32" spans="1:20">
      <c r="A32" s="4">
        <f t="shared" si="0"/>
        <v>31</v>
      </c>
      <c r="B32" s="20" t="s">
        <v>65</v>
      </c>
      <c r="C32" s="21" t="s">
        <v>57</v>
      </c>
      <c r="D32" s="21" t="s">
        <v>29</v>
      </c>
      <c r="E32" s="21" t="s">
        <v>30</v>
      </c>
      <c r="F32" s="22">
        <v>28.96</v>
      </c>
      <c r="G32" s="23">
        <v>3200000</v>
      </c>
      <c r="H32" s="21">
        <v>50</v>
      </c>
      <c r="I32" s="21">
        <v>0.21</v>
      </c>
      <c r="J32" s="21">
        <v>2</v>
      </c>
      <c r="K32" s="21">
        <v>1</v>
      </c>
      <c r="L32" s="21">
        <v>0</v>
      </c>
      <c r="M32" s="24">
        <v>0.4</v>
      </c>
      <c r="N32" s="24">
        <v>0.4</v>
      </c>
      <c r="O32" s="24"/>
      <c r="P32" s="22">
        <v>29</v>
      </c>
      <c r="Q32" s="4">
        <v>2370</v>
      </c>
      <c r="R32" s="21"/>
      <c r="S32" s="4">
        <v>0.75</v>
      </c>
      <c r="T32" s="21" t="s">
        <v>32</v>
      </c>
    </row>
    <row r="33" spans="1:20">
      <c r="A33" s="4">
        <f t="shared" si="0"/>
        <v>32</v>
      </c>
      <c r="B33" s="21" t="s">
        <v>66</v>
      </c>
      <c r="C33" s="21" t="s">
        <v>28</v>
      </c>
      <c r="D33" s="21" t="s">
        <v>36</v>
      </c>
      <c r="E33" s="21" t="s">
        <v>30</v>
      </c>
      <c r="F33" s="22">
        <v>7</v>
      </c>
      <c r="G33" s="23">
        <v>49000</v>
      </c>
      <c r="H33" s="21"/>
      <c r="I33" s="21"/>
      <c r="J33" s="21"/>
      <c r="K33" s="21"/>
      <c r="L33" s="21"/>
      <c r="M33" s="24"/>
      <c r="N33" s="24"/>
      <c r="O33" s="24"/>
      <c r="P33" s="22">
        <v>7</v>
      </c>
      <c r="Q33" s="4">
        <v>9.2</v>
      </c>
      <c r="R33" s="4">
        <v>30.5</v>
      </c>
      <c r="S33" s="4">
        <v>3</v>
      </c>
      <c r="T33" s="21" t="s">
        <v>52</v>
      </c>
    </row>
    <row r="34" spans="1:20">
      <c r="A34" s="4">
        <f t="shared" si="0"/>
        <v>33</v>
      </c>
      <c r="B34" s="36" t="s">
        <v>67</v>
      </c>
      <c r="C34" s="36" t="s">
        <v>28</v>
      </c>
      <c r="D34" s="37"/>
      <c r="E34" s="37" t="s">
        <v>30</v>
      </c>
      <c r="F34" s="41">
        <v>3.7</v>
      </c>
      <c r="G34" s="38">
        <v>620000</v>
      </c>
      <c r="H34" s="37"/>
      <c r="I34" s="37"/>
      <c r="J34" s="37"/>
      <c r="K34" s="37"/>
      <c r="L34" s="37"/>
      <c r="M34" s="37"/>
      <c r="N34" s="37"/>
      <c r="O34" s="37"/>
      <c r="P34" s="41"/>
      <c r="Q34" s="39"/>
      <c r="R34" s="39">
        <v>46</v>
      </c>
      <c r="S34" s="39"/>
      <c r="T34" s="37"/>
    </row>
    <row r="35" spans="1:20">
      <c r="A35" s="4">
        <f t="shared" si="0"/>
        <v>34</v>
      </c>
      <c r="B35" s="21" t="s">
        <v>68</v>
      </c>
      <c r="C35" s="4" t="s">
        <v>28</v>
      </c>
      <c r="D35" s="21" t="s">
        <v>36</v>
      </c>
      <c r="E35" s="21" t="s">
        <v>30</v>
      </c>
      <c r="F35" s="22"/>
      <c r="G35" s="23">
        <v>25000</v>
      </c>
      <c r="H35" s="21"/>
      <c r="I35" s="21"/>
      <c r="J35" s="21"/>
      <c r="K35" s="21"/>
      <c r="L35" s="21"/>
      <c r="M35" s="21"/>
      <c r="N35" s="21"/>
      <c r="O35" s="21"/>
      <c r="P35" s="22">
        <v>6.1</v>
      </c>
      <c r="R35" s="4">
        <v>4.72</v>
      </c>
      <c r="T35" s="4" t="s">
        <v>49</v>
      </c>
    </row>
    <row r="36" spans="1:20">
      <c r="A36" s="4">
        <f t="shared" si="0"/>
        <v>35</v>
      </c>
      <c r="B36" s="4" t="s">
        <v>69</v>
      </c>
      <c r="C36" s="4" t="s">
        <v>28</v>
      </c>
      <c r="D36" s="4" t="s">
        <v>29</v>
      </c>
      <c r="E36" s="4" t="s">
        <v>30</v>
      </c>
      <c r="F36" s="5">
        <v>14.02</v>
      </c>
      <c r="G36" s="28">
        <v>484000</v>
      </c>
      <c r="P36" s="5">
        <v>14.02</v>
      </c>
      <c r="Q36" s="4">
        <v>1420</v>
      </c>
      <c r="R36" s="4">
        <v>125</v>
      </c>
      <c r="S36" s="4">
        <v>0.5</v>
      </c>
      <c r="T36" s="21" t="s">
        <v>52</v>
      </c>
    </row>
    <row r="37" spans="1:20">
      <c r="A37" s="4">
        <f t="shared" si="0"/>
        <v>36</v>
      </c>
      <c r="B37" s="45" t="s">
        <v>70</v>
      </c>
      <c r="C37" s="4" t="s">
        <v>28</v>
      </c>
      <c r="D37" s="4" t="s">
        <v>29</v>
      </c>
      <c r="E37" s="4" t="s">
        <v>30</v>
      </c>
      <c r="F37" s="5">
        <v>5.79</v>
      </c>
      <c r="G37" s="28">
        <v>1130000</v>
      </c>
      <c r="H37" s="4">
        <v>0.03</v>
      </c>
      <c r="I37" s="4">
        <v>0.35</v>
      </c>
      <c r="J37" s="4">
        <v>18</v>
      </c>
      <c r="K37" s="4">
        <v>0.55</v>
      </c>
      <c r="L37" s="4">
        <v>20</v>
      </c>
      <c r="M37" s="5">
        <v>0.5</v>
      </c>
      <c r="N37" s="5">
        <v>0.3</v>
      </c>
      <c r="P37" s="5">
        <v>5.79</v>
      </c>
      <c r="Q37" s="21"/>
      <c r="R37" s="4">
        <v>12.5</v>
      </c>
      <c r="S37" s="21"/>
      <c r="T37" s="21" t="s">
        <v>32</v>
      </c>
    </row>
    <row r="38" spans="1:20">
      <c r="A38" s="4">
        <f t="shared" si="0"/>
        <v>37</v>
      </c>
      <c r="B38" s="36" t="s">
        <v>71</v>
      </c>
      <c r="C38" s="36" t="s">
        <v>28</v>
      </c>
      <c r="D38" s="39"/>
      <c r="E38" s="39" t="s">
        <v>30</v>
      </c>
      <c r="F38" s="46">
        <v>3.4</v>
      </c>
      <c r="G38" s="47"/>
      <c r="H38" s="39"/>
      <c r="I38" s="39"/>
      <c r="J38" s="39"/>
      <c r="K38" s="39"/>
      <c r="L38" s="39"/>
      <c r="M38" s="39"/>
      <c r="N38" s="39"/>
      <c r="O38" s="39"/>
      <c r="P38" s="46"/>
      <c r="Q38" s="37"/>
      <c r="R38" s="39">
        <v>46</v>
      </c>
      <c r="S38" s="37"/>
      <c r="T38" s="37"/>
    </row>
    <row r="39" spans="1:20">
      <c r="A39" s="4">
        <f t="shared" si="0"/>
        <v>38</v>
      </c>
      <c r="B39" s="4" t="s">
        <v>72</v>
      </c>
      <c r="C39" s="4" t="s">
        <v>28</v>
      </c>
      <c r="D39" s="4" t="s">
        <v>36</v>
      </c>
      <c r="E39" s="4" t="s">
        <v>30</v>
      </c>
      <c r="F39" s="5">
        <v>7.2</v>
      </c>
      <c r="G39" s="28">
        <v>2380000</v>
      </c>
      <c r="P39" s="5">
        <v>7.16</v>
      </c>
      <c r="Q39" s="21">
        <v>810</v>
      </c>
      <c r="R39" s="4">
        <v>62.5</v>
      </c>
      <c r="S39" s="21"/>
      <c r="T39" s="4" t="s">
        <v>73</v>
      </c>
    </row>
    <row r="40" spans="1:20">
      <c r="A40" s="4">
        <f t="shared" si="0"/>
        <v>39</v>
      </c>
      <c r="B40" s="4" t="s">
        <v>74</v>
      </c>
      <c r="C40" s="4" t="s">
        <v>35</v>
      </c>
      <c r="D40" s="4" t="s">
        <v>36</v>
      </c>
      <c r="E40" s="4" t="s">
        <v>30</v>
      </c>
      <c r="F40" s="5">
        <v>23.4</v>
      </c>
      <c r="G40" s="28">
        <v>110000</v>
      </c>
      <c r="P40" s="5">
        <v>23.4</v>
      </c>
      <c r="Q40" s="4">
        <v>74</v>
      </c>
      <c r="R40" s="21"/>
      <c r="S40" s="21"/>
      <c r="T40" s="4" t="s">
        <v>37</v>
      </c>
    </row>
    <row r="41" spans="1:20">
      <c r="A41" s="4">
        <f t="shared" si="0"/>
        <v>40</v>
      </c>
      <c r="B41" s="48" t="s">
        <v>75</v>
      </c>
      <c r="C41" s="48" t="s">
        <v>28</v>
      </c>
      <c r="D41" s="48" t="s">
        <v>36</v>
      </c>
      <c r="E41" s="48" t="s">
        <v>42</v>
      </c>
      <c r="F41" s="49">
        <v>21.34</v>
      </c>
      <c r="G41" s="50">
        <v>4230000</v>
      </c>
      <c r="H41" s="48">
        <v>82.3373265418304</v>
      </c>
      <c r="I41" s="48">
        <v>0.24</v>
      </c>
      <c r="J41" s="48">
        <v>2.65737313813985</v>
      </c>
      <c r="K41" s="48">
        <v>0.829136716316271</v>
      </c>
      <c r="L41" s="48">
        <v>3.54316418418647</v>
      </c>
      <c r="M41" s="49">
        <v>0.333</v>
      </c>
      <c r="N41" s="49">
        <v>1</v>
      </c>
      <c r="O41" s="49" t="s">
        <v>39</v>
      </c>
      <c r="P41" s="49">
        <v>21.3</v>
      </c>
      <c r="Q41" s="48">
        <v>3570</v>
      </c>
      <c r="R41" s="48">
        <v>44.2</v>
      </c>
      <c r="S41" s="48">
        <v>0.5</v>
      </c>
      <c r="T41" s="48" t="s">
        <v>46</v>
      </c>
    </row>
    <row r="42" spans="1:20">
      <c r="A42" s="4">
        <f t="shared" si="0"/>
        <v>41</v>
      </c>
      <c r="B42" s="36" t="s">
        <v>76</v>
      </c>
      <c r="C42" s="36" t="s">
        <v>28</v>
      </c>
      <c r="D42" s="39"/>
      <c r="E42" s="39" t="s">
        <v>30</v>
      </c>
      <c r="F42" s="36">
        <v>3.7</v>
      </c>
      <c r="G42" s="47"/>
      <c r="H42" s="39"/>
      <c r="I42" s="39"/>
      <c r="J42" s="39"/>
      <c r="K42" s="39"/>
      <c r="L42" s="39"/>
      <c r="M42" s="39"/>
      <c r="N42" s="39"/>
      <c r="O42" s="39"/>
      <c r="P42" s="46">
        <v>3.7</v>
      </c>
      <c r="Q42" s="39"/>
      <c r="R42" s="39"/>
      <c r="S42" s="39"/>
      <c r="T42" s="39"/>
    </row>
    <row r="43" spans="1:20">
      <c r="A43" s="4">
        <f t="shared" si="0"/>
        <v>42</v>
      </c>
      <c r="B43" s="36" t="s">
        <v>77</v>
      </c>
      <c r="C43" s="36" t="s">
        <v>28</v>
      </c>
      <c r="D43" s="39"/>
      <c r="E43" s="39" t="s">
        <v>30</v>
      </c>
      <c r="F43" s="36">
        <v>3.4</v>
      </c>
      <c r="G43" s="47"/>
      <c r="H43" s="39"/>
      <c r="I43" s="39"/>
      <c r="J43" s="39"/>
      <c r="K43" s="39"/>
      <c r="L43" s="39"/>
      <c r="M43" s="39"/>
      <c r="N43" s="39"/>
      <c r="O43" s="39"/>
      <c r="P43" s="46">
        <v>3.4</v>
      </c>
      <c r="Q43" s="39"/>
      <c r="R43" s="39">
        <v>9.1</v>
      </c>
      <c r="S43" s="39"/>
      <c r="T43" s="39"/>
    </row>
    <row r="44" spans="1:20">
      <c r="A44" s="4">
        <f t="shared" si="0"/>
        <v>43</v>
      </c>
      <c r="B44" s="36" t="s">
        <v>78</v>
      </c>
      <c r="C44" s="36" t="s">
        <v>28</v>
      </c>
      <c r="D44" s="39"/>
      <c r="E44" s="39" t="s">
        <v>30</v>
      </c>
      <c r="F44" s="36">
        <v>6.1</v>
      </c>
      <c r="G44" s="47">
        <v>985000</v>
      </c>
      <c r="H44" s="39"/>
      <c r="I44" s="39"/>
      <c r="J44" s="39"/>
      <c r="K44" s="39"/>
      <c r="L44" s="39"/>
      <c r="M44" s="39"/>
      <c r="N44" s="39"/>
      <c r="O44" s="39"/>
      <c r="P44" s="46"/>
      <c r="Q44" s="39">
        <v>850</v>
      </c>
      <c r="R44" s="39"/>
      <c r="S44" s="39"/>
      <c r="T44" s="39"/>
    </row>
    <row r="45" spans="1:20">
      <c r="A45" s="4">
        <f t="shared" si="0"/>
        <v>44</v>
      </c>
      <c r="B45" s="36" t="s">
        <v>79</v>
      </c>
      <c r="C45" s="36" t="s">
        <v>80</v>
      </c>
      <c r="D45" s="39"/>
      <c r="E45" s="39"/>
      <c r="F45" s="36">
        <v>15</v>
      </c>
      <c r="G45" s="47"/>
      <c r="H45" s="39"/>
      <c r="I45" s="39"/>
      <c r="J45" s="39"/>
      <c r="K45" s="39"/>
      <c r="L45" s="39"/>
      <c r="M45" s="39"/>
      <c r="N45" s="39"/>
      <c r="O45" s="39"/>
      <c r="P45" s="39">
        <v>9.1</v>
      </c>
      <c r="Q45" s="39">
        <v>170</v>
      </c>
      <c r="R45" s="39"/>
      <c r="S45" s="39"/>
      <c r="T45" s="39"/>
    </row>
    <row r="46" spans="1:20">
      <c r="A46" s="4">
        <f t="shared" si="0"/>
        <v>45</v>
      </c>
      <c r="B46" s="4" t="s">
        <v>81</v>
      </c>
      <c r="C46" s="4" t="s">
        <v>28</v>
      </c>
      <c r="D46" s="4" t="s">
        <v>29</v>
      </c>
      <c r="E46" s="4" t="s">
        <v>30</v>
      </c>
      <c r="F46" s="5">
        <v>20</v>
      </c>
      <c r="G46" s="28">
        <v>700000</v>
      </c>
      <c r="P46" s="5">
        <v>12.2</v>
      </c>
      <c r="R46" s="4">
        <v>35.1</v>
      </c>
      <c r="S46" s="21"/>
      <c r="T46" s="4" t="s">
        <v>52</v>
      </c>
    </row>
    <row r="47" spans="1:20">
      <c r="A47" s="4">
        <f t="shared" si="0"/>
        <v>46</v>
      </c>
      <c r="B47" s="4" t="s">
        <v>82</v>
      </c>
      <c r="C47" s="4" t="s">
        <v>28</v>
      </c>
      <c r="D47" s="4" t="s">
        <v>36</v>
      </c>
      <c r="E47" s="4" t="s">
        <v>30</v>
      </c>
      <c r="F47" s="5">
        <v>5.2</v>
      </c>
      <c r="G47" s="28">
        <v>13300</v>
      </c>
      <c r="P47" s="5">
        <v>5.2</v>
      </c>
      <c r="Q47" s="4">
        <v>71</v>
      </c>
      <c r="R47" s="21"/>
      <c r="S47" s="21"/>
      <c r="T47" s="4" t="s">
        <v>63</v>
      </c>
    </row>
    <row r="48" spans="1:20">
      <c r="A48" s="4">
        <f t="shared" si="0"/>
        <v>47</v>
      </c>
      <c r="B48" s="4" t="s">
        <v>83</v>
      </c>
      <c r="C48" s="4" t="s">
        <v>35</v>
      </c>
      <c r="D48" s="4" t="s">
        <v>36</v>
      </c>
      <c r="E48" s="4" t="s">
        <v>30</v>
      </c>
      <c r="F48" s="5">
        <v>4</v>
      </c>
      <c r="G48" s="28">
        <v>200000</v>
      </c>
      <c r="P48" s="5">
        <v>4</v>
      </c>
      <c r="Q48" s="4">
        <v>73</v>
      </c>
      <c r="R48" s="21"/>
      <c r="S48" s="21"/>
      <c r="T48" s="4" t="s">
        <v>37</v>
      </c>
    </row>
    <row r="49" spans="1:20">
      <c r="A49" s="4">
        <f t="shared" si="0"/>
        <v>48</v>
      </c>
      <c r="B49" s="4" t="s">
        <v>84</v>
      </c>
      <c r="C49" s="4" t="s">
        <v>35</v>
      </c>
      <c r="D49" s="4" t="s">
        <v>36</v>
      </c>
      <c r="E49" s="4" t="s">
        <v>30</v>
      </c>
      <c r="F49" s="5">
        <v>7</v>
      </c>
      <c r="G49" s="28">
        <v>150000</v>
      </c>
      <c r="P49" s="5">
        <v>7</v>
      </c>
      <c r="Q49" s="4">
        <v>20</v>
      </c>
      <c r="R49" s="21"/>
      <c r="S49" s="21"/>
      <c r="T49" s="4" t="s">
        <v>37</v>
      </c>
    </row>
    <row r="50" spans="1:20">
      <c r="A50" s="4">
        <f t="shared" si="0"/>
        <v>49</v>
      </c>
      <c r="B50" s="4" t="s">
        <v>85</v>
      </c>
      <c r="C50" s="4" t="s">
        <v>28</v>
      </c>
      <c r="D50" s="4" t="s">
        <v>36</v>
      </c>
      <c r="E50" s="4" t="s">
        <v>30</v>
      </c>
      <c r="F50" s="5">
        <v>7.01</v>
      </c>
      <c r="G50" s="28">
        <v>69000</v>
      </c>
      <c r="P50" s="5">
        <v>7.01</v>
      </c>
      <c r="R50" s="21"/>
      <c r="S50" s="21">
        <v>5.5</v>
      </c>
      <c r="T50" s="4" t="s">
        <v>52</v>
      </c>
    </row>
    <row r="51" spans="1:20">
      <c r="A51" s="4">
        <f t="shared" si="0"/>
        <v>50</v>
      </c>
      <c r="B51" s="4" t="s">
        <v>86</v>
      </c>
      <c r="C51" s="4" t="s">
        <v>35</v>
      </c>
      <c r="D51" s="4" t="s">
        <v>36</v>
      </c>
      <c r="E51" s="4" t="s">
        <v>30</v>
      </c>
      <c r="F51" s="5">
        <v>12</v>
      </c>
      <c r="G51" s="28">
        <v>4250000</v>
      </c>
      <c r="O51" s="5" t="s">
        <v>39</v>
      </c>
      <c r="P51" s="5">
        <v>12</v>
      </c>
      <c r="Q51" s="4">
        <v>1200</v>
      </c>
      <c r="R51" s="21"/>
      <c r="S51" s="21">
        <v>1.83</v>
      </c>
      <c r="T51" s="4" t="s">
        <v>40</v>
      </c>
    </row>
    <row r="52" spans="1:20">
      <c r="A52" s="4">
        <f t="shared" si="0"/>
        <v>51</v>
      </c>
      <c r="B52" s="36" t="s">
        <v>87</v>
      </c>
      <c r="C52" s="36" t="s">
        <v>28</v>
      </c>
      <c r="D52" s="39"/>
      <c r="E52" s="39" t="s">
        <v>30</v>
      </c>
      <c r="F52" s="46">
        <v>8.1</v>
      </c>
      <c r="G52" s="47"/>
      <c r="H52" s="39"/>
      <c r="I52" s="39"/>
      <c r="J52" s="39"/>
      <c r="K52" s="39"/>
      <c r="L52" s="39"/>
      <c r="M52" s="39"/>
      <c r="N52" s="39"/>
      <c r="O52" s="39"/>
      <c r="P52" s="46">
        <v>2.4</v>
      </c>
      <c r="Q52" s="39"/>
      <c r="R52" s="37"/>
      <c r="S52" s="37"/>
      <c r="T52" s="39"/>
    </row>
    <row r="53" spans="1:20">
      <c r="A53" s="4">
        <f t="shared" si="0"/>
        <v>52</v>
      </c>
      <c r="B53" s="4" t="s">
        <v>88</v>
      </c>
      <c r="C53" s="4" t="s">
        <v>35</v>
      </c>
      <c r="D53" s="4" t="s">
        <v>36</v>
      </c>
      <c r="E53" s="4" t="s">
        <v>30</v>
      </c>
      <c r="F53" s="5">
        <v>7</v>
      </c>
      <c r="G53" s="28">
        <v>360000</v>
      </c>
      <c r="P53" s="5">
        <v>7</v>
      </c>
      <c r="Q53" s="4">
        <v>30</v>
      </c>
      <c r="R53" s="21"/>
      <c r="S53" s="21"/>
      <c r="T53" s="4" t="s">
        <v>37</v>
      </c>
    </row>
    <row r="54" spans="1:20">
      <c r="A54" s="4">
        <f t="shared" si="0"/>
        <v>53</v>
      </c>
      <c r="B54" s="4" t="s">
        <v>89</v>
      </c>
      <c r="C54" s="21" t="s">
        <v>28</v>
      </c>
      <c r="D54" s="4" t="s">
        <v>36</v>
      </c>
      <c r="E54" s="4" t="s">
        <v>30</v>
      </c>
      <c r="G54" s="28">
        <v>466000</v>
      </c>
      <c r="M54" s="4"/>
      <c r="N54" s="4"/>
      <c r="O54" s="4"/>
      <c r="P54" s="5">
        <v>3.78</v>
      </c>
      <c r="R54" s="21">
        <v>22.8</v>
      </c>
      <c r="S54" s="21"/>
      <c r="T54" s="4" t="s">
        <v>90</v>
      </c>
    </row>
    <row r="55" spans="1:20">
      <c r="A55" s="4">
        <f t="shared" si="0"/>
        <v>54</v>
      </c>
      <c r="B55" s="48" t="s">
        <v>91</v>
      </c>
      <c r="C55" s="48" t="s">
        <v>57</v>
      </c>
      <c r="D55" s="48" t="s">
        <v>36</v>
      </c>
      <c r="E55" s="48" t="s">
        <v>42</v>
      </c>
      <c r="F55" s="49">
        <v>10.97</v>
      </c>
      <c r="G55" s="50">
        <v>310000</v>
      </c>
      <c r="H55" s="48">
        <v>0.180652067515075</v>
      </c>
      <c r="I55" s="48">
        <v>0.31</v>
      </c>
      <c r="J55" s="48">
        <v>3.4143410267514</v>
      </c>
      <c r="K55" s="48">
        <v>0.384795477782589</v>
      </c>
      <c r="L55" s="48">
        <v>4.5524547023352</v>
      </c>
      <c r="M55" s="49">
        <v>0.333</v>
      </c>
      <c r="N55" s="49">
        <v>0.333</v>
      </c>
      <c r="O55" s="49" t="s">
        <v>31</v>
      </c>
      <c r="P55" s="49">
        <v>11</v>
      </c>
      <c r="Q55" s="48"/>
      <c r="R55" s="48">
        <v>42.7</v>
      </c>
      <c r="S55" s="48">
        <v>0.25</v>
      </c>
      <c r="T55" s="48" t="s">
        <v>46</v>
      </c>
    </row>
    <row r="56" spans="1:20">
      <c r="A56" s="4">
        <f t="shared" si="0"/>
        <v>55</v>
      </c>
      <c r="B56" s="4" t="s">
        <v>92</v>
      </c>
      <c r="C56" s="4" t="s">
        <v>93</v>
      </c>
      <c r="D56" s="4" t="s">
        <v>36</v>
      </c>
      <c r="E56" s="4" t="s">
        <v>30</v>
      </c>
      <c r="G56" s="28">
        <v>30000</v>
      </c>
      <c r="M56" s="4"/>
      <c r="N56" s="4"/>
      <c r="O56" s="4"/>
      <c r="P56" s="5">
        <v>10.4</v>
      </c>
      <c r="S56" s="4">
        <v>0.05</v>
      </c>
      <c r="T56" s="4" t="s">
        <v>90</v>
      </c>
    </row>
    <row r="57" spans="1:20">
      <c r="A57" s="4">
        <f t="shared" si="0"/>
        <v>56</v>
      </c>
      <c r="B57" s="36" t="s">
        <v>94</v>
      </c>
      <c r="C57" s="36" t="s">
        <v>28</v>
      </c>
      <c r="D57" s="39"/>
      <c r="E57" s="39" t="s">
        <v>30</v>
      </c>
      <c r="F57" s="46">
        <v>12.8</v>
      </c>
      <c r="G57" s="47"/>
      <c r="H57" s="39"/>
      <c r="I57" s="39"/>
      <c r="J57" s="39"/>
      <c r="K57" s="39"/>
      <c r="L57" s="39"/>
      <c r="M57" s="39"/>
      <c r="N57" s="39"/>
      <c r="O57" s="39"/>
      <c r="P57" s="46"/>
      <c r="Q57" s="39"/>
      <c r="R57" s="39">
        <v>152.4</v>
      </c>
      <c r="S57" s="39"/>
      <c r="T57" s="39"/>
    </row>
    <row r="58" spans="1:20">
      <c r="A58" s="4">
        <f t="shared" si="0"/>
        <v>57</v>
      </c>
      <c r="B58" s="4" t="s">
        <v>95</v>
      </c>
      <c r="C58" s="4" t="s">
        <v>35</v>
      </c>
      <c r="D58" s="4" t="s">
        <v>36</v>
      </c>
      <c r="E58" s="4" t="s">
        <v>30</v>
      </c>
      <c r="F58" s="5">
        <v>11.2</v>
      </c>
      <c r="G58" s="28">
        <v>170000</v>
      </c>
      <c r="P58" s="5">
        <v>11.2</v>
      </c>
      <c r="Q58" s="4">
        <v>98</v>
      </c>
      <c r="R58" s="21"/>
      <c r="S58" s="21"/>
      <c r="T58" s="4" t="s">
        <v>37</v>
      </c>
    </row>
    <row r="59" spans="1:20">
      <c r="A59" s="4">
        <f t="shared" si="0"/>
        <v>58</v>
      </c>
      <c r="B59" s="4" t="s">
        <v>96</v>
      </c>
      <c r="C59" s="4" t="s">
        <v>35</v>
      </c>
      <c r="D59" s="4" t="s">
        <v>36</v>
      </c>
      <c r="E59" s="4" t="s">
        <v>42</v>
      </c>
      <c r="F59" s="5">
        <v>23</v>
      </c>
      <c r="G59" s="28">
        <v>3720000</v>
      </c>
      <c r="P59" s="5">
        <v>23</v>
      </c>
      <c r="R59" s="4">
        <v>120</v>
      </c>
      <c r="S59" s="4">
        <v>0.5</v>
      </c>
      <c r="T59" s="4" t="s">
        <v>37</v>
      </c>
    </row>
    <row r="60" spans="1:20">
      <c r="A60" s="4">
        <f t="shared" si="0"/>
        <v>59</v>
      </c>
      <c r="B60" s="4" t="s">
        <v>97</v>
      </c>
      <c r="C60" s="4" t="s">
        <v>35</v>
      </c>
      <c r="D60" s="4" t="s">
        <v>36</v>
      </c>
      <c r="E60" s="4" t="s">
        <v>30</v>
      </c>
      <c r="F60" s="5">
        <v>6</v>
      </c>
      <c r="G60" s="28">
        <v>170000</v>
      </c>
      <c r="P60" s="5">
        <v>6</v>
      </c>
      <c r="Q60" s="4">
        <v>182</v>
      </c>
      <c r="R60" s="21"/>
      <c r="S60" s="21"/>
      <c r="T60" s="4" t="s">
        <v>37</v>
      </c>
    </row>
    <row r="61" spans="1:20">
      <c r="A61" s="4">
        <f t="shared" si="0"/>
        <v>60</v>
      </c>
      <c r="B61" s="4" t="s">
        <v>98</v>
      </c>
      <c r="C61" s="4" t="s">
        <v>35</v>
      </c>
      <c r="D61" s="4" t="s">
        <v>36</v>
      </c>
      <c r="E61" s="4" t="s">
        <v>30</v>
      </c>
      <c r="F61" s="5">
        <v>7.3</v>
      </c>
      <c r="G61" s="28">
        <v>630000</v>
      </c>
      <c r="P61" s="5">
        <v>7.3</v>
      </c>
      <c r="Q61" s="4">
        <v>136</v>
      </c>
      <c r="R61" s="21"/>
      <c r="S61" s="21"/>
      <c r="T61" s="4" t="s">
        <v>37</v>
      </c>
    </row>
    <row r="62" spans="1:20">
      <c r="A62" s="4">
        <f t="shared" si="0"/>
        <v>61</v>
      </c>
      <c r="B62" s="4" t="s">
        <v>99</v>
      </c>
      <c r="C62" s="4" t="s">
        <v>35</v>
      </c>
      <c r="D62" s="4" t="s">
        <v>36</v>
      </c>
      <c r="E62" s="4" t="s">
        <v>30</v>
      </c>
      <c r="F62" s="5">
        <v>9</v>
      </c>
      <c r="G62" s="28">
        <v>470000</v>
      </c>
      <c r="P62" s="5">
        <v>9</v>
      </c>
      <c r="Q62" s="4">
        <v>78</v>
      </c>
      <c r="R62" s="21"/>
      <c r="S62" s="21"/>
      <c r="T62" s="4" t="s">
        <v>37</v>
      </c>
    </row>
    <row r="63" spans="1:20">
      <c r="A63" s="4">
        <f t="shared" si="0"/>
        <v>62</v>
      </c>
      <c r="B63" s="4" t="s">
        <v>100</v>
      </c>
      <c r="C63" s="4" t="s">
        <v>35</v>
      </c>
      <c r="D63" s="4" t="s">
        <v>36</v>
      </c>
      <c r="E63" s="4" t="s">
        <v>30</v>
      </c>
      <c r="F63" s="5">
        <v>12</v>
      </c>
      <c r="G63" s="28">
        <v>600000</v>
      </c>
      <c r="O63" s="5" t="s">
        <v>39</v>
      </c>
      <c r="P63" s="5">
        <v>12</v>
      </c>
      <c r="Q63" s="21"/>
      <c r="R63" s="21"/>
      <c r="S63" s="21"/>
      <c r="T63" s="4" t="s">
        <v>40</v>
      </c>
    </row>
    <row r="64" spans="1:20">
      <c r="A64" s="4">
        <f t="shared" si="0"/>
        <v>63</v>
      </c>
      <c r="B64" s="4" t="s">
        <v>101</v>
      </c>
      <c r="C64" s="4" t="s">
        <v>35</v>
      </c>
      <c r="D64" s="4" t="s">
        <v>36</v>
      </c>
      <c r="E64" s="4" t="s">
        <v>42</v>
      </c>
      <c r="F64" s="5">
        <v>46</v>
      </c>
      <c r="G64" s="28">
        <v>15600000</v>
      </c>
      <c r="O64" s="5" t="s">
        <v>102</v>
      </c>
      <c r="P64" s="5">
        <v>25</v>
      </c>
      <c r="Q64" s="4">
        <v>2500</v>
      </c>
      <c r="R64" s="4">
        <v>58</v>
      </c>
      <c r="S64" s="4">
        <v>3</v>
      </c>
      <c r="T64" s="4" t="s">
        <v>40</v>
      </c>
    </row>
    <row r="65" spans="1:20">
      <c r="A65" s="4">
        <f t="shared" si="0"/>
        <v>64</v>
      </c>
      <c r="B65" s="4" t="s">
        <v>103</v>
      </c>
      <c r="C65" s="4" t="s">
        <v>104</v>
      </c>
      <c r="D65" s="4" t="s">
        <v>36</v>
      </c>
      <c r="E65" s="4" t="s">
        <v>30</v>
      </c>
      <c r="F65" s="5">
        <v>61</v>
      </c>
      <c r="G65" s="28">
        <v>464000000</v>
      </c>
      <c r="M65" s="4"/>
      <c r="N65" s="4"/>
      <c r="O65" s="4"/>
      <c r="P65" s="5">
        <v>56</v>
      </c>
      <c r="Q65" s="4">
        <v>11950</v>
      </c>
      <c r="R65" s="4">
        <v>110</v>
      </c>
      <c r="T65" s="4" t="s">
        <v>105</v>
      </c>
    </row>
    <row r="66" spans="1:20">
      <c r="A66" s="4">
        <f t="shared" si="0"/>
        <v>65</v>
      </c>
      <c r="B66" s="4" t="s">
        <v>106</v>
      </c>
      <c r="C66" s="4" t="s">
        <v>35</v>
      </c>
      <c r="D66" s="4" t="s">
        <v>36</v>
      </c>
      <c r="E66" s="4" t="s">
        <v>30</v>
      </c>
      <c r="F66" s="5">
        <v>20</v>
      </c>
      <c r="G66" s="28">
        <v>164000</v>
      </c>
      <c r="P66" s="5">
        <v>20</v>
      </c>
      <c r="Q66" s="4">
        <v>446</v>
      </c>
      <c r="R66" s="21"/>
      <c r="S66" s="21"/>
      <c r="T66" s="4" t="s">
        <v>37</v>
      </c>
    </row>
    <row r="67" spans="1:20">
      <c r="A67" s="4">
        <f t="shared" si="0"/>
        <v>66</v>
      </c>
      <c r="B67" s="4" t="s">
        <v>107</v>
      </c>
      <c r="C67" s="4" t="s">
        <v>35</v>
      </c>
      <c r="D67" s="4" t="s">
        <v>36</v>
      </c>
      <c r="E67" s="4" t="s">
        <v>42</v>
      </c>
      <c r="F67" s="5">
        <v>12</v>
      </c>
      <c r="G67" s="28">
        <v>120000</v>
      </c>
      <c r="P67" s="5">
        <v>12</v>
      </c>
      <c r="Q67" s="4">
        <v>600</v>
      </c>
      <c r="R67" s="21"/>
      <c r="S67" s="21"/>
      <c r="T67" s="4" t="s">
        <v>37</v>
      </c>
    </row>
    <row r="68" spans="1:20">
      <c r="A68" s="4">
        <f t="shared" si="0"/>
        <v>67</v>
      </c>
      <c r="B68" s="45" t="s">
        <v>108</v>
      </c>
      <c r="C68" s="4" t="s">
        <v>28</v>
      </c>
      <c r="D68" s="4" t="s">
        <v>29</v>
      </c>
      <c r="E68" s="43" t="s">
        <v>42</v>
      </c>
      <c r="F68" s="5">
        <v>11.89</v>
      </c>
      <c r="G68" s="28">
        <v>58000000</v>
      </c>
      <c r="H68" s="4">
        <v>0.03</v>
      </c>
      <c r="I68" s="4">
        <v>0.3</v>
      </c>
      <c r="J68" s="4">
        <v>36</v>
      </c>
      <c r="K68" s="4">
        <v>0.55</v>
      </c>
      <c r="L68" s="4">
        <v>30</v>
      </c>
      <c r="M68" s="5">
        <v>0.5</v>
      </c>
      <c r="N68" s="5">
        <v>0.5</v>
      </c>
      <c r="O68" s="5" t="s">
        <v>39</v>
      </c>
      <c r="P68" s="5">
        <v>11.9</v>
      </c>
      <c r="Q68" s="4">
        <v>510</v>
      </c>
      <c r="R68" s="21">
        <v>18.3</v>
      </c>
      <c r="S68" s="21">
        <v>7</v>
      </c>
      <c r="T68" s="21" t="s">
        <v>32</v>
      </c>
    </row>
    <row r="69" spans="1:20">
      <c r="A69" s="4">
        <f t="shared" si="0"/>
        <v>68</v>
      </c>
      <c r="B69" s="4" t="s">
        <v>109</v>
      </c>
      <c r="C69" s="4" t="s">
        <v>28</v>
      </c>
      <c r="D69" s="4" t="s">
        <v>36</v>
      </c>
      <c r="E69" s="4" t="s">
        <v>42</v>
      </c>
      <c r="G69" s="28"/>
      <c r="M69" s="4"/>
      <c r="N69" s="4"/>
      <c r="O69" s="4"/>
      <c r="P69" s="5">
        <v>11</v>
      </c>
      <c r="Q69" s="4">
        <v>1950</v>
      </c>
      <c r="R69" s="21"/>
      <c r="S69" s="21"/>
      <c r="T69" s="4" t="s">
        <v>49</v>
      </c>
    </row>
    <row r="70" spans="1:20">
      <c r="A70" s="4">
        <f t="shared" si="0"/>
        <v>69</v>
      </c>
      <c r="B70" s="4" t="s">
        <v>110</v>
      </c>
      <c r="C70" s="4" t="s">
        <v>28</v>
      </c>
      <c r="D70" s="4" t="s">
        <v>36</v>
      </c>
      <c r="E70" s="4" t="s">
        <v>30</v>
      </c>
      <c r="F70" s="5">
        <v>18.3</v>
      </c>
      <c r="G70" s="28">
        <v>13000000</v>
      </c>
      <c r="O70" s="5" t="s">
        <v>31</v>
      </c>
      <c r="P70" s="5">
        <v>18.3</v>
      </c>
      <c r="Q70" s="4">
        <v>5440</v>
      </c>
      <c r="R70" s="21"/>
      <c r="S70" s="4">
        <v>0.67</v>
      </c>
      <c r="T70" s="4" t="s">
        <v>40</v>
      </c>
    </row>
    <row r="71" spans="1:20">
      <c r="A71" s="4">
        <f t="shared" si="0"/>
        <v>70</v>
      </c>
      <c r="B71" s="36" t="s">
        <v>111</v>
      </c>
      <c r="C71" s="36" t="s">
        <v>28</v>
      </c>
      <c r="D71" s="39"/>
      <c r="E71" s="39"/>
      <c r="F71" s="46">
        <v>2.7</v>
      </c>
      <c r="G71" s="47"/>
      <c r="H71" s="39"/>
      <c r="I71" s="39"/>
      <c r="J71" s="39"/>
      <c r="K71" s="39"/>
      <c r="L71" s="39"/>
      <c r="M71" s="39"/>
      <c r="N71" s="39"/>
      <c r="O71" s="39"/>
      <c r="P71" s="46">
        <v>2.7</v>
      </c>
      <c r="Q71" s="39"/>
      <c r="R71" s="37">
        <v>67</v>
      </c>
      <c r="S71" s="39"/>
      <c r="T71" s="39"/>
    </row>
    <row r="72" spans="1:20">
      <c r="A72" s="4">
        <f t="shared" si="0"/>
        <v>71</v>
      </c>
      <c r="B72" s="4" t="s">
        <v>112</v>
      </c>
      <c r="C72" s="4" t="s">
        <v>28</v>
      </c>
      <c r="D72" s="4" t="s">
        <v>36</v>
      </c>
      <c r="E72" s="4" t="s">
        <v>30</v>
      </c>
      <c r="F72" s="5">
        <v>8.8</v>
      </c>
      <c r="G72" s="28">
        <v>19700000</v>
      </c>
      <c r="P72" s="5">
        <v>8.8</v>
      </c>
      <c r="Q72" s="4">
        <v>793</v>
      </c>
      <c r="R72" s="21"/>
      <c r="S72" s="21"/>
      <c r="T72" s="4" t="s">
        <v>52</v>
      </c>
    </row>
    <row r="73" spans="1:20">
      <c r="A73" s="4">
        <f t="shared" si="0"/>
        <v>72</v>
      </c>
      <c r="B73" s="4" t="s">
        <v>113</v>
      </c>
      <c r="C73" s="4" t="s">
        <v>35</v>
      </c>
      <c r="D73" s="4" t="s">
        <v>36</v>
      </c>
      <c r="E73" s="4" t="s">
        <v>30</v>
      </c>
      <c r="F73" s="5">
        <v>31</v>
      </c>
      <c r="G73" s="28">
        <v>27000000</v>
      </c>
      <c r="O73" s="5" t="s">
        <v>31</v>
      </c>
      <c r="P73" s="5">
        <v>31</v>
      </c>
      <c r="Q73" s="4">
        <v>21000</v>
      </c>
      <c r="R73" s="21"/>
      <c r="S73" s="21"/>
      <c r="T73" s="4" t="s">
        <v>40</v>
      </c>
    </row>
    <row r="74" spans="1:20">
      <c r="A74" s="4">
        <f t="shared" si="0"/>
        <v>73</v>
      </c>
      <c r="B74" s="36" t="s">
        <v>114</v>
      </c>
      <c r="C74" s="36" t="s">
        <v>115</v>
      </c>
      <c r="D74" s="39"/>
      <c r="E74" s="39"/>
      <c r="F74" s="46">
        <v>22</v>
      </c>
      <c r="G74" s="47"/>
      <c r="H74" s="39"/>
      <c r="I74" s="39"/>
      <c r="J74" s="39"/>
      <c r="K74" s="39"/>
      <c r="L74" s="39"/>
      <c r="M74" s="39"/>
      <c r="N74" s="39"/>
      <c r="O74" s="39"/>
      <c r="P74" s="46">
        <v>1.8</v>
      </c>
      <c r="Q74" s="39"/>
      <c r="R74" s="37">
        <v>9.1</v>
      </c>
      <c r="S74" s="37"/>
      <c r="T74" s="39"/>
    </row>
    <row r="75" spans="1:20">
      <c r="A75" s="4">
        <f t="shared" si="0"/>
        <v>74</v>
      </c>
      <c r="B75" s="51" t="s">
        <v>116</v>
      </c>
      <c r="C75" s="51" t="s">
        <v>35</v>
      </c>
      <c r="D75" s="4" t="s">
        <v>36</v>
      </c>
      <c r="E75" s="4" t="s">
        <v>30</v>
      </c>
      <c r="F75" s="5">
        <v>16</v>
      </c>
      <c r="G75" s="28">
        <v>120000</v>
      </c>
      <c r="P75" s="5">
        <v>16</v>
      </c>
      <c r="Q75" s="4">
        <v>79</v>
      </c>
      <c r="R75" s="21"/>
      <c r="S75" s="21"/>
    </row>
    <row r="76" spans="1:20">
      <c r="A76" s="4">
        <f t="shared" ref="A76:A137" si="1">ROW()-1</f>
        <v>75</v>
      </c>
      <c r="B76" s="4" t="s">
        <v>117</v>
      </c>
      <c r="C76" s="4" t="s">
        <v>35</v>
      </c>
      <c r="D76" s="4" t="s">
        <v>36</v>
      </c>
      <c r="E76" s="4" t="s">
        <v>30</v>
      </c>
      <c r="F76" s="5">
        <v>17.7</v>
      </c>
      <c r="G76" s="28">
        <v>670000</v>
      </c>
      <c r="O76" s="5" t="s">
        <v>39</v>
      </c>
      <c r="P76" s="5">
        <v>17.7</v>
      </c>
      <c r="Q76" s="21"/>
      <c r="R76" s="21"/>
      <c r="T76" s="4" t="s">
        <v>40</v>
      </c>
    </row>
    <row r="77" spans="1:20">
      <c r="A77" s="4">
        <f t="shared" si="1"/>
        <v>76</v>
      </c>
      <c r="B77" s="4" t="s">
        <v>118</v>
      </c>
      <c r="C77" s="4" t="s">
        <v>35</v>
      </c>
      <c r="D77" s="4" t="s">
        <v>36</v>
      </c>
      <c r="E77" s="4" t="s">
        <v>30</v>
      </c>
      <c r="F77" s="5">
        <v>6</v>
      </c>
      <c r="G77" s="28">
        <v>570000</v>
      </c>
      <c r="P77" s="5">
        <v>6</v>
      </c>
      <c r="Q77" s="4">
        <v>50</v>
      </c>
      <c r="R77" s="21"/>
      <c r="S77" s="21"/>
      <c r="T77" s="4" t="s">
        <v>37</v>
      </c>
    </row>
    <row r="78" spans="1:20">
      <c r="A78" s="4">
        <f t="shared" si="1"/>
        <v>77</v>
      </c>
      <c r="B78" s="4" t="s">
        <v>116</v>
      </c>
      <c r="C78" s="4" t="s">
        <v>35</v>
      </c>
      <c r="D78" s="4" t="s">
        <v>36</v>
      </c>
      <c r="E78" s="4" t="s">
        <v>30</v>
      </c>
      <c r="F78" s="5">
        <v>16</v>
      </c>
      <c r="G78" s="28">
        <v>120000</v>
      </c>
      <c r="P78" s="5">
        <v>16</v>
      </c>
      <c r="Q78" s="4">
        <v>79</v>
      </c>
      <c r="R78" s="21"/>
      <c r="S78" s="21"/>
      <c r="T78" s="4" t="s">
        <v>37</v>
      </c>
    </row>
    <row r="79" spans="1:20">
      <c r="A79" s="4">
        <f t="shared" si="1"/>
        <v>78</v>
      </c>
      <c r="B79" s="4" t="s">
        <v>119</v>
      </c>
      <c r="C79" s="4" t="s">
        <v>28</v>
      </c>
      <c r="D79" s="4" t="s">
        <v>29</v>
      </c>
      <c r="E79" s="4" t="s">
        <v>30</v>
      </c>
      <c r="F79" s="5">
        <v>13.4</v>
      </c>
      <c r="G79" s="28"/>
      <c r="M79" s="4"/>
      <c r="N79" s="4"/>
      <c r="O79" s="4"/>
      <c r="P79" s="5">
        <v>11.4</v>
      </c>
      <c r="R79" s="21">
        <v>17.2</v>
      </c>
      <c r="S79" s="21"/>
      <c r="T79" s="4" t="s">
        <v>90</v>
      </c>
    </row>
    <row r="80" spans="1:20">
      <c r="A80" s="4">
        <f t="shared" si="1"/>
        <v>79</v>
      </c>
      <c r="B80" s="4" t="s">
        <v>120</v>
      </c>
      <c r="C80" s="4" t="s">
        <v>28</v>
      </c>
      <c r="D80" s="4" t="s">
        <v>36</v>
      </c>
      <c r="E80" s="4" t="s">
        <v>30</v>
      </c>
      <c r="F80" s="5">
        <v>9.1</v>
      </c>
      <c r="G80" s="28"/>
      <c r="M80" s="4"/>
      <c r="N80" s="4"/>
      <c r="O80" s="4"/>
      <c r="P80" s="5">
        <v>7.6</v>
      </c>
      <c r="R80" s="21"/>
      <c r="S80" s="21"/>
    </row>
    <row r="81" spans="1:20">
      <c r="A81" s="4">
        <f t="shared" si="1"/>
        <v>80</v>
      </c>
      <c r="B81" s="48" t="s">
        <v>121</v>
      </c>
      <c r="C81" s="48" t="s">
        <v>28</v>
      </c>
      <c r="D81" s="48" t="s">
        <v>36</v>
      </c>
      <c r="E81" s="48" t="s">
        <v>42</v>
      </c>
      <c r="F81" s="49">
        <v>9.14</v>
      </c>
      <c r="G81" s="50">
        <v>740000</v>
      </c>
      <c r="H81" s="48">
        <v>0.176499201608611</v>
      </c>
      <c r="I81" s="48">
        <v>0.31</v>
      </c>
      <c r="J81" s="48">
        <v>4.14719971612751</v>
      </c>
      <c r="K81" s="48">
        <v>0.387971198769886</v>
      </c>
      <c r="L81" s="48">
        <v>5.52959962150334</v>
      </c>
      <c r="M81" s="49">
        <v>0.4</v>
      </c>
      <c r="N81" s="49">
        <v>0.4</v>
      </c>
      <c r="O81" s="49" t="s">
        <v>39</v>
      </c>
      <c r="P81" s="49">
        <v>9.14</v>
      </c>
      <c r="Q81" s="48">
        <v>610</v>
      </c>
      <c r="R81" s="48">
        <v>36.6</v>
      </c>
      <c r="S81" s="48">
        <v>0.83</v>
      </c>
      <c r="T81" s="48" t="s">
        <v>46</v>
      </c>
    </row>
    <row r="82" spans="1:20">
      <c r="A82" s="4">
        <f t="shared" si="1"/>
        <v>81</v>
      </c>
      <c r="B82" s="4" t="s">
        <v>122</v>
      </c>
      <c r="C82" s="4" t="s">
        <v>28</v>
      </c>
      <c r="D82" s="4" t="s">
        <v>29</v>
      </c>
      <c r="E82" s="4" t="s">
        <v>30</v>
      </c>
      <c r="F82" s="5">
        <v>16</v>
      </c>
      <c r="G82" s="28">
        <v>500000</v>
      </c>
      <c r="P82" s="5">
        <v>8.23</v>
      </c>
      <c r="R82" s="4">
        <v>10.8</v>
      </c>
      <c r="S82" s="21"/>
      <c r="T82" s="4" t="s">
        <v>52</v>
      </c>
    </row>
    <row r="83" spans="1:20">
      <c r="A83" s="4">
        <f t="shared" si="1"/>
        <v>82</v>
      </c>
      <c r="B83" s="4" t="s">
        <v>123</v>
      </c>
      <c r="C83" s="4" t="s">
        <v>35</v>
      </c>
      <c r="D83" s="4" t="s">
        <v>36</v>
      </c>
      <c r="E83" s="4" t="s">
        <v>30</v>
      </c>
      <c r="F83" s="5">
        <v>12.1</v>
      </c>
      <c r="G83" s="28">
        <v>196000</v>
      </c>
      <c r="O83" s="5" t="s">
        <v>39</v>
      </c>
      <c r="P83" s="5">
        <v>9</v>
      </c>
      <c r="R83" s="4">
        <v>18.8</v>
      </c>
      <c r="S83" s="21"/>
      <c r="T83" s="4" t="s">
        <v>40</v>
      </c>
    </row>
    <row r="84" spans="1:20">
      <c r="A84" s="4">
        <f t="shared" si="1"/>
        <v>83</v>
      </c>
      <c r="B84" s="4" t="s">
        <v>124</v>
      </c>
      <c r="C84" s="4" t="s">
        <v>125</v>
      </c>
      <c r="D84" s="4" t="s">
        <v>36</v>
      </c>
      <c r="E84" s="4" t="s">
        <v>30</v>
      </c>
      <c r="F84" s="5">
        <v>53.04</v>
      </c>
      <c r="G84" s="28">
        <v>13600000</v>
      </c>
      <c r="M84" s="4"/>
      <c r="N84" s="4"/>
      <c r="O84" s="4"/>
      <c r="P84" s="5">
        <v>53</v>
      </c>
      <c r="Q84" s="4">
        <v>1020</v>
      </c>
      <c r="S84" s="21">
        <v>7.3</v>
      </c>
    </row>
    <row r="85" spans="1:20">
      <c r="A85" s="4">
        <f t="shared" si="1"/>
        <v>84</v>
      </c>
      <c r="B85" s="4" t="s">
        <v>126</v>
      </c>
      <c r="C85" s="4" t="s">
        <v>127</v>
      </c>
      <c r="D85" s="4" t="s">
        <v>36</v>
      </c>
      <c r="E85" s="4" t="s">
        <v>30</v>
      </c>
      <c r="F85" s="5">
        <v>0.22</v>
      </c>
      <c r="G85" s="4">
        <v>6.95</v>
      </c>
      <c r="P85" s="5">
        <v>0.16</v>
      </c>
      <c r="Q85" s="4">
        <v>0.024</v>
      </c>
      <c r="S85" s="21"/>
      <c r="T85" s="4" t="s">
        <v>63</v>
      </c>
    </row>
    <row r="86" spans="1:20">
      <c r="A86" s="4">
        <f t="shared" si="1"/>
        <v>85</v>
      </c>
      <c r="B86" s="4" t="s">
        <v>128</v>
      </c>
      <c r="C86" s="4" t="s">
        <v>35</v>
      </c>
      <c r="D86" s="4" t="s">
        <v>36</v>
      </c>
      <c r="E86" s="4" t="s">
        <v>30</v>
      </c>
      <c r="F86" s="5">
        <v>10</v>
      </c>
      <c r="G86" s="28">
        <v>625000</v>
      </c>
      <c r="O86" s="5" t="s">
        <v>39</v>
      </c>
      <c r="P86" s="5">
        <v>8</v>
      </c>
      <c r="R86" s="4">
        <v>35</v>
      </c>
      <c r="S86" s="21"/>
      <c r="T86" s="4" t="s">
        <v>40</v>
      </c>
    </row>
    <row r="87" spans="1:20">
      <c r="A87" s="4">
        <f t="shared" si="1"/>
        <v>86</v>
      </c>
      <c r="B87" s="4" t="s">
        <v>129</v>
      </c>
      <c r="C87" s="4" t="s">
        <v>28</v>
      </c>
      <c r="D87" s="4" t="s">
        <v>29</v>
      </c>
      <c r="E87" s="4" t="s">
        <v>30</v>
      </c>
      <c r="G87" s="28"/>
      <c r="M87" s="4"/>
      <c r="N87" s="4"/>
      <c r="O87" s="4"/>
      <c r="P87" s="5">
        <v>12.6</v>
      </c>
      <c r="R87" s="4">
        <v>7.62</v>
      </c>
      <c r="S87" s="21"/>
      <c r="T87" s="4" t="s">
        <v>90</v>
      </c>
    </row>
    <row r="88" spans="1:20">
      <c r="A88" s="4">
        <f t="shared" si="1"/>
        <v>87</v>
      </c>
      <c r="B88" s="36" t="s">
        <v>130</v>
      </c>
      <c r="C88" s="36" t="s">
        <v>28</v>
      </c>
      <c r="D88" s="39"/>
      <c r="E88" s="39" t="s">
        <v>30</v>
      </c>
      <c r="F88" s="46">
        <v>3</v>
      </c>
      <c r="G88" s="47"/>
      <c r="H88" s="39"/>
      <c r="I88" s="39"/>
      <c r="J88" s="39"/>
      <c r="K88" s="39"/>
      <c r="L88" s="39"/>
      <c r="M88" s="39"/>
      <c r="N88" s="39"/>
      <c r="O88" s="39"/>
      <c r="P88" s="46">
        <v>3</v>
      </c>
      <c r="Q88" s="39"/>
      <c r="R88" s="39">
        <v>27.4</v>
      </c>
      <c r="S88" s="37"/>
      <c r="T88" s="39"/>
    </row>
    <row r="89" spans="1:20">
      <c r="A89" s="4">
        <f t="shared" si="1"/>
        <v>88</v>
      </c>
      <c r="B89" s="4" t="s">
        <v>131</v>
      </c>
      <c r="C89" s="4" t="s">
        <v>28</v>
      </c>
      <c r="D89" s="4" t="s">
        <v>29</v>
      </c>
      <c r="E89" s="4" t="s">
        <v>30</v>
      </c>
      <c r="G89" s="28"/>
      <c r="M89" s="4"/>
      <c r="N89" s="4"/>
      <c r="O89" s="4"/>
      <c r="P89" s="5">
        <v>9.14</v>
      </c>
      <c r="Q89" s="4">
        <v>2750</v>
      </c>
      <c r="R89" s="4">
        <v>183</v>
      </c>
      <c r="S89" s="21">
        <v>6</v>
      </c>
      <c r="T89" s="4" t="s">
        <v>90</v>
      </c>
    </row>
    <row r="90" spans="1:20">
      <c r="A90" s="4">
        <f t="shared" si="1"/>
        <v>89</v>
      </c>
      <c r="B90" s="4" t="s">
        <v>132</v>
      </c>
      <c r="C90" s="4" t="s">
        <v>127</v>
      </c>
      <c r="D90" s="4" t="s">
        <v>29</v>
      </c>
      <c r="E90" s="4" t="s">
        <v>30</v>
      </c>
      <c r="F90" s="5">
        <v>9.75</v>
      </c>
      <c r="G90" s="28">
        <v>350000</v>
      </c>
      <c r="O90" s="5" t="s">
        <v>102</v>
      </c>
      <c r="P90" s="5">
        <v>9.75</v>
      </c>
      <c r="Q90" s="4">
        <v>79</v>
      </c>
      <c r="R90" s="4">
        <v>6.9</v>
      </c>
      <c r="S90" s="4">
        <v>2.5</v>
      </c>
      <c r="T90" s="4" t="s">
        <v>133</v>
      </c>
    </row>
    <row r="91" spans="1:20">
      <c r="A91" s="4">
        <f t="shared" si="1"/>
        <v>90</v>
      </c>
      <c r="B91" s="4" t="s">
        <v>134</v>
      </c>
      <c r="C91" s="4" t="s">
        <v>28</v>
      </c>
      <c r="D91" s="4" t="s">
        <v>29</v>
      </c>
      <c r="E91" s="4" t="s">
        <v>30</v>
      </c>
      <c r="F91" s="5">
        <v>10.4</v>
      </c>
      <c r="G91" s="28">
        <v>752000</v>
      </c>
      <c r="P91" s="5">
        <v>10.4</v>
      </c>
      <c r="Q91" s="4">
        <v>654</v>
      </c>
      <c r="T91" s="4" t="s">
        <v>52</v>
      </c>
    </row>
    <row r="92" spans="1:20">
      <c r="A92" s="4">
        <f t="shared" si="1"/>
        <v>91</v>
      </c>
      <c r="B92" s="36" t="s">
        <v>135</v>
      </c>
      <c r="C92" s="36" t="s">
        <v>28</v>
      </c>
      <c r="D92" s="39"/>
      <c r="E92" s="39" t="s">
        <v>30</v>
      </c>
      <c r="F92" s="46">
        <v>9.4</v>
      </c>
      <c r="G92" s="47"/>
      <c r="H92" s="39"/>
      <c r="I92" s="39"/>
      <c r="J92" s="39"/>
      <c r="K92" s="39"/>
      <c r="L92" s="39"/>
      <c r="M92" s="39"/>
      <c r="N92" s="39"/>
      <c r="O92" s="39"/>
      <c r="P92" s="46"/>
      <c r="Q92" s="39"/>
      <c r="R92" s="39">
        <v>10.7</v>
      </c>
      <c r="S92" s="39"/>
      <c r="T92" s="39"/>
    </row>
    <row r="93" spans="1:20">
      <c r="A93" s="4">
        <f t="shared" si="1"/>
        <v>92</v>
      </c>
      <c r="B93" s="45" t="s">
        <v>136</v>
      </c>
      <c r="C93" s="4" t="s">
        <v>28</v>
      </c>
      <c r="D93" s="4" t="s">
        <v>29</v>
      </c>
      <c r="E93" s="4" t="s">
        <v>30</v>
      </c>
      <c r="F93" s="5">
        <v>12.19</v>
      </c>
      <c r="G93" s="28">
        <v>21900000</v>
      </c>
      <c r="H93" s="4">
        <v>0.03</v>
      </c>
      <c r="I93" s="4">
        <v>0.3</v>
      </c>
      <c r="J93" s="4">
        <v>8.5</v>
      </c>
      <c r="K93" s="4">
        <v>0.55</v>
      </c>
      <c r="L93" s="4">
        <v>30</v>
      </c>
      <c r="M93" s="5">
        <v>0.5</v>
      </c>
      <c r="N93" s="5">
        <v>0.4</v>
      </c>
      <c r="O93" s="5" t="s">
        <v>31</v>
      </c>
      <c r="P93" s="5">
        <v>14.2</v>
      </c>
      <c r="Q93" s="4">
        <v>929</v>
      </c>
      <c r="R93" s="4">
        <v>27.4</v>
      </c>
      <c r="S93" s="4">
        <v>0.58</v>
      </c>
      <c r="T93" s="21" t="s">
        <v>32</v>
      </c>
    </row>
    <row r="94" spans="1:20">
      <c r="A94" s="4">
        <f t="shared" si="1"/>
        <v>93</v>
      </c>
      <c r="B94" s="45" t="s">
        <v>137</v>
      </c>
      <c r="C94" s="4" t="s">
        <v>28</v>
      </c>
      <c r="D94" s="4" t="s">
        <v>29</v>
      </c>
      <c r="E94" s="4" t="s">
        <v>30</v>
      </c>
      <c r="F94" s="5">
        <v>12.5</v>
      </c>
      <c r="G94" s="28">
        <v>21000000</v>
      </c>
      <c r="H94" s="4">
        <v>0.03</v>
      </c>
      <c r="I94" s="4">
        <v>0.3</v>
      </c>
      <c r="J94" s="4">
        <v>22</v>
      </c>
      <c r="K94" s="4">
        <v>0.55</v>
      </c>
      <c r="L94" s="4">
        <v>30</v>
      </c>
      <c r="M94" s="5">
        <v>0.3</v>
      </c>
      <c r="N94" s="5">
        <v>0.5</v>
      </c>
      <c r="O94" s="5" t="s">
        <v>39</v>
      </c>
      <c r="P94" s="5">
        <v>12.5</v>
      </c>
      <c r="Q94" s="4">
        <v>1420</v>
      </c>
      <c r="R94" s="4">
        <v>54.6</v>
      </c>
      <c r="S94" s="4">
        <v>3</v>
      </c>
      <c r="T94" s="21" t="s">
        <v>32</v>
      </c>
    </row>
    <row r="95" spans="1:20">
      <c r="A95" s="4">
        <f t="shared" si="1"/>
        <v>94</v>
      </c>
      <c r="B95" s="4" t="s">
        <v>138</v>
      </c>
      <c r="C95" s="4" t="s">
        <v>139</v>
      </c>
      <c r="D95" s="4" t="s">
        <v>36</v>
      </c>
      <c r="E95" s="43" t="s">
        <v>42</v>
      </c>
      <c r="F95" s="5">
        <v>15</v>
      </c>
      <c r="G95" s="28">
        <v>250000</v>
      </c>
      <c r="O95" s="5" t="s">
        <v>39</v>
      </c>
      <c r="P95" s="5">
        <v>15</v>
      </c>
      <c r="Q95" s="4">
        <v>400</v>
      </c>
      <c r="S95" s="4">
        <v>0.25</v>
      </c>
      <c r="T95" s="4" t="s">
        <v>40</v>
      </c>
    </row>
    <row r="96" spans="1:20">
      <c r="A96" s="4">
        <f t="shared" si="1"/>
        <v>95</v>
      </c>
      <c r="B96" s="4" t="s">
        <v>140</v>
      </c>
      <c r="C96" s="4" t="s">
        <v>35</v>
      </c>
      <c r="D96" s="4" t="s">
        <v>36</v>
      </c>
      <c r="E96" s="4" t="s">
        <v>30</v>
      </c>
      <c r="F96" s="5">
        <v>4</v>
      </c>
      <c r="G96" s="28">
        <v>500000</v>
      </c>
      <c r="P96" s="5">
        <v>4</v>
      </c>
      <c r="Q96" s="4">
        <v>23</v>
      </c>
      <c r="T96" s="4" t="s">
        <v>37</v>
      </c>
    </row>
    <row r="97" spans="1:20">
      <c r="A97" s="4">
        <f t="shared" si="1"/>
        <v>96</v>
      </c>
      <c r="B97" s="39" t="s">
        <v>141</v>
      </c>
      <c r="C97" s="39" t="s">
        <v>104</v>
      </c>
      <c r="D97" s="39" t="s">
        <v>36</v>
      </c>
      <c r="E97" s="39" t="s">
        <v>30</v>
      </c>
      <c r="F97" s="46">
        <v>31.76</v>
      </c>
      <c r="G97" s="47">
        <v>44380000</v>
      </c>
      <c r="H97" s="39"/>
      <c r="I97" s="39"/>
      <c r="J97" s="39"/>
      <c r="K97" s="39"/>
      <c r="L97" s="39"/>
      <c r="M97" s="39"/>
      <c r="N97" s="39"/>
      <c r="O97" s="39"/>
      <c r="P97" s="46"/>
      <c r="Q97" s="39"/>
      <c r="R97" s="39">
        <v>105</v>
      </c>
      <c r="S97" s="39"/>
      <c r="T97" s="39" t="s">
        <v>105</v>
      </c>
    </row>
    <row r="98" spans="1:20">
      <c r="A98" s="4">
        <f t="shared" si="1"/>
        <v>97</v>
      </c>
      <c r="B98" s="4" t="s">
        <v>142</v>
      </c>
      <c r="C98" s="4" t="s">
        <v>104</v>
      </c>
      <c r="D98" s="4" t="s">
        <v>36</v>
      </c>
      <c r="E98" s="4" t="s">
        <v>30</v>
      </c>
      <c r="F98" s="5">
        <v>12.19</v>
      </c>
      <c r="G98" s="28">
        <v>2179000</v>
      </c>
      <c r="M98" s="4"/>
      <c r="N98" s="4"/>
      <c r="O98" s="4"/>
      <c r="P98" s="5">
        <v>12</v>
      </c>
      <c r="Q98" s="4">
        <v>228</v>
      </c>
      <c r="R98" s="4">
        <v>60</v>
      </c>
      <c r="T98" s="4" t="s">
        <v>105</v>
      </c>
    </row>
    <row r="99" spans="1:20">
      <c r="A99" s="4">
        <f t="shared" si="1"/>
        <v>98</v>
      </c>
      <c r="B99" s="36" t="s">
        <v>143</v>
      </c>
      <c r="C99" s="36" t="s">
        <v>28</v>
      </c>
      <c r="D99" s="39"/>
      <c r="E99" s="39" t="s">
        <v>30</v>
      </c>
      <c r="F99" s="46">
        <v>3</v>
      </c>
      <c r="G99" s="47"/>
      <c r="H99" s="39"/>
      <c r="I99" s="39"/>
      <c r="J99" s="39"/>
      <c r="K99" s="39"/>
      <c r="L99" s="39"/>
      <c r="M99" s="39"/>
      <c r="N99" s="39"/>
      <c r="O99" s="39"/>
      <c r="P99" s="46">
        <v>3</v>
      </c>
      <c r="Q99" s="39"/>
      <c r="R99" s="39"/>
      <c r="S99" s="39"/>
      <c r="T99" s="39"/>
    </row>
    <row r="100" spans="1:20">
      <c r="A100" s="4">
        <f t="shared" si="1"/>
        <v>99</v>
      </c>
      <c r="B100" s="4" t="s">
        <v>144</v>
      </c>
      <c r="C100" s="4" t="s">
        <v>28</v>
      </c>
      <c r="D100" s="4" t="s">
        <v>36</v>
      </c>
      <c r="E100" s="4" t="s">
        <v>30</v>
      </c>
      <c r="F100" s="5">
        <v>6.7</v>
      </c>
      <c r="G100" s="28">
        <v>10600000</v>
      </c>
      <c r="H100" s="4">
        <v>0.03</v>
      </c>
      <c r="I100" s="4">
        <v>0.3</v>
      </c>
      <c r="J100" s="4">
        <v>13.2</v>
      </c>
      <c r="K100" s="4">
        <v>0.5</v>
      </c>
      <c r="L100" s="4">
        <v>40</v>
      </c>
      <c r="M100" s="4">
        <v>0.667</v>
      </c>
      <c r="N100" s="4">
        <v>0.667</v>
      </c>
      <c r="O100" s="4"/>
      <c r="P100" s="5">
        <v>4.1</v>
      </c>
      <c r="Q100" s="4">
        <v>565</v>
      </c>
      <c r="R100" s="1">
        <v>26.4</v>
      </c>
      <c r="S100" s="4">
        <v>0.5</v>
      </c>
      <c r="T100" s="52" t="s">
        <v>145</v>
      </c>
    </row>
    <row r="101" spans="1:20">
      <c r="A101" s="4">
        <f t="shared" si="1"/>
        <v>100</v>
      </c>
      <c r="B101" s="48" t="s">
        <v>146</v>
      </c>
      <c r="C101" s="48" t="s">
        <v>35</v>
      </c>
      <c r="D101" s="48" t="s">
        <v>29</v>
      </c>
      <c r="E101" s="53" t="s">
        <v>42</v>
      </c>
      <c r="F101" s="49">
        <v>71</v>
      </c>
      <c r="G101" s="50">
        <v>3300000</v>
      </c>
      <c r="H101" s="48">
        <v>12</v>
      </c>
      <c r="I101" s="48"/>
      <c r="J101" s="48">
        <v>60</v>
      </c>
      <c r="K101" s="48">
        <v>0.84</v>
      </c>
      <c r="L101" s="48"/>
      <c r="M101" s="49">
        <v>1.6</v>
      </c>
      <c r="N101" s="49">
        <v>1.5</v>
      </c>
      <c r="O101" s="49" t="s">
        <v>102</v>
      </c>
      <c r="P101" s="49">
        <v>53</v>
      </c>
      <c r="Q101" s="48">
        <v>3267</v>
      </c>
      <c r="R101" s="48">
        <v>99.5</v>
      </c>
      <c r="S101" s="48">
        <v>2.33</v>
      </c>
      <c r="T101" s="54" t="s">
        <v>46</v>
      </c>
    </row>
    <row r="102" spans="1:20">
      <c r="A102" s="4">
        <f t="shared" si="1"/>
        <v>101</v>
      </c>
      <c r="B102" s="4" t="s">
        <v>147</v>
      </c>
      <c r="C102" s="4" t="s">
        <v>35</v>
      </c>
      <c r="D102" s="4" t="s">
        <v>36</v>
      </c>
      <c r="E102" s="4" t="s">
        <v>30</v>
      </c>
      <c r="F102" s="5">
        <v>16.5</v>
      </c>
      <c r="G102" s="28">
        <v>3200000</v>
      </c>
      <c r="M102" s="4"/>
      <c r="N102" s="4"/>
      <c r="O102" s="4"/>
      <c r="P102" s="5">
        <v>9</v>
      </c>
    </row>
    <row r="103" spans="1:20">
      <c r="A103" s="4">
        <f t="shared" si="1"/>
        <v>102</v>
      </c>
      <c r="B103" s="48" t="s">
        <v>148</v>
      </c>
      <c r="C103" s="48" t="s">
        <v>28</v>
      </c>
      <c r="D103" s="48" t="s">
        <v>36</v>
      </c>
      <c r="E103" s="48" t="s">
        <v>42</v>
      </c>
      <c r="F103" s="49">
        <v>7.62</v>
      </c>
      <c r="G103" s="50">
        <v>220000</v>
      </c>
      <c r="H103" s="48">
        <v>0.174258025439128</v>
      </c>
      <c r="I103" s="48">
        <v>0.31</v>
      </c>
      <c r="J103" s="48">
        <v>4.54270139309509</v>
      </c>
      <c r="K103" s="48">
        <v>0.389685039370079</v>
      </c>
      <c r="L103" s="48">
        <v>0.605693519079346</v>
      </c>
      <c r="M103" s="49">
        <v>0.4</v>
      </c>
      <c r="N103" s="49">
        <v>0.4</v>
      </c>
      <c r="O103" s="49" t="s">
        <v>39</v>
      </c>
      <c r="P103" s="49">
        <v>6.4</v>
      </c>
      <c r="Q103" s="48"/>
      <c r="R103" s="48">
        <v>10.7</v>
      </c>
      <c r="S103" s="48">
        <v>0.5</v>
      </c>
      <c r="T103" s="48" t="s">
        <v>46</v>
      </c>
    </row>
    <row r="104" spans="1:20">
      <c r="A104" s="4">
        <f t="shared" si="1"/>
        <v>103</v>
      </c>
      <c r="B104" s="4" t="s">
        <v>149</v>
      </c>
      <c r="C104" s="4" t="s">
        <v>28</v>
      </c>
      <c r="D104" s="4" t="s">
        <v>36</v>
      </c>
      <c r="E104" s="4" t="s">
        <v>30</v>
      </c>
      <c r="F104" s="5">
        <v>4</v>
      </c>
      <c r="M104" s="4"/>
      <c r="N104" s="4"/>
      <c r="O104" s="4"/>
      <c r="P104" s="5">
        <v>3.96</v>
      </c>
      <c r="R104" s="1">
        <v>10.7</v>
      </c>
      <c r="T104" s="4" t="s">
        <v>52</v>
      </c>
    </row>
    <row r="105" spans="1:20">
      <c r="A105" s="4">
        <f t="shared" si="1"/>
        <v>104</v>
      </c>
      <c r="B105" s="36" t="s">
        <v>150</v>
      </c>
      <c r="C105" s="36" t="s">
        <v>28</v>
      </c>
      <c r="D105" s="39"/>
      <c r="E105" s="39" t="s">
        <v>30</v>
      </c>
      <c r="F105" s="46">
        <v>7</v>
      </c>
      <c r="G105" s="39"/>
      <c r="H105" s="39"/>
      <c r="I105" s="39"/>
      <c r="J105" s="39"/>
      <c r="K105" s="39"/>
      <c r="L105" s="39"/>
      <c r="M105" s="39"/>
      <c r="N105" s="39"/>
      <c r="O105" s="39"/>
      <c r="P105" s="46">
        <v>2</v>
      </c>
      <c r="Q105" s="39"/>
      <c r="R105" s="39">
        <v>4.6</v>
      </c>
      <c r="S105" s="39"/>
      <c r="T105" s="39"/>
    </row>
    <row r="106" spans="1:20">
      <c r="A106" s="4">
        <f t="shared" si="1"/>
        <v>105</v>
      </c>
      <c r="B106" s="36" t="s">
        <v>151</v>
      </c>
      <c r="C106" s="36" t="s">
        <v>28</v>
      </c>
      <c r="D106" s="39"/>
      <c r="E106" s="39" t="s">
        <v>30</v>
      </c>
      <c r="F106" s="46">
        <v>3.7</v>
      </c>
      <c r="G106" s="39"/>
      <c r="H106" s="39"/>
      <c r="I106" s="39"/>
      <c r="J106" s="39"/>
      <c r="K106" s="39"/>
      <c r="L106" s="39"/>
      <c r="M106" s="39"/>
      <c r="N106" s="39"/>
      <c r="O106" s="39"/>
      <c r="P106" s="46">
        <v>1.8</v>
      </c>
      <c r="Q106" s="39"/>
      <c r="R106" s="39">
        <v>3</v>
      </c>
      <c r="S106" s="39"/>
      <c r="T106" s="39"/>
    </row>
    <row r="107" spans="1:20">
      <c r="A107" s="4">
        <f t="shared" si="1"/>
        <v>106</v>
      </c>
      <c r="B107" s="4" t="s">
        <v>152</v>
      </c>
      <c r="C107" s="4" t="s">
        <v>28</v>
      </c>
      <c r="D107" s="4" t="s">
        <v>29</v>
      </c>
      <c r="E107" s="4" t="s">
        <v>30</v>
      </c>
      <c r="M107" s="4"/>
      <c r="N107" s="4"/>
      <c r="O107" s="4" t="s">
        <v>31</v>
      </c>
      <c r="P107" s="5">
        <v>10.8</v>
      </c>
      <c r="R107" s="4">
        <v>73.9</v>
      </c>
      <c r="T107" s="4" t="s">
        <v>90</v>
      </c>
    </row>
    <row r="108" spans="1:20">
      <c r="A108" s="4">
        <f t="shared" si="1"/>
        <v>107</v>
      </c>
      <c r="B108" s="51" t="s">
        <v>153</v>
      </c>
      <c r="C108" s="4" t="s">
        <v>154</v>
      </c>
      <c r="D108" s="4" t="s">
        <v>36</v>
      </c>
      <c r="E108" s="4" t="s">
        <v>42</v>
      </c>
      <c r="M108" s="4"/>
      <c r="N108" s="4"/>
      <c r="O108" s="4"/>
      <c r="P108" s="5">
        <v>7</v>
      </c>
      <c r="Q108" s="4">
        <v>600</v>
      </c>
      <c r="T108" s="4" t="s">
        <v>49</v>
      </c>
    </row>
    <row r="109" spans="1:20">
      <c r="A109" s="4">
        <f t="shared" si="1"/>
        <v>108</v>
      </c>
      <c r="B109" s="45" t="s">
        <v>155</v>
      </c>
      <c r="C109" s="4" t="s">
        <v>28</v>
      </c>
      <c r="D109" s="4" t="s">
        <v>29</v>
      </c>
      <c r="E109" s="4" t="s">
        <v>42</v>
      </c>
      <c r="F109" s="5">
        <v>19.2</v>
      </c>
      <c r="G109" s="28">
        <v>14800000</v>
      </c>
      <c r="H109" s="4">
        <v>0.07</v>
      </c>
      <c r="I109" s="4">
        <v>0.3</v>
      </c>
      <c r="J109" s="4">
        <v>4</v>
      </c>
      <c r="K109" s="4">
        <v>0.25</v>
      </c>
      <c r="L109" s="4">
        <v>18</v>
      </c>
      <c r="M109" s="5">
        <v>0.5</v>
      </c>
      <c r="N109" s="5">
        <v>0.4</v>
      </c>
      <c r="P109" s="5">
        <v>18.3</v>
      </c>
      <c r="Q109" s="4">
        <v>3080</v>
      </c>
      <c r="R109" s="4">
        <v>151</v>
      </c>
      <c r="S109" s="4">
        <v>3</v>
      </c>
      <c r="T109" s="21" t="s">
        <v>32</v>
      </c>
    </row>
    <row r="110" spans="1:20">
      <c r="A110" s="4">
        <f t="shared" si="1"/>
        <v>109</v>
      </c>
      <c r="B110" s="4" t="s">
        <v>156</v>
      </c>
      <c r="C110" s="4" t="s">
        <v>35</v>
      </c>
      <c r="D110" s="4" t="s">
        <v>36</v>
      </c>
      <c r="E110" s="4" t="s">
        <v>30</v>
      </c>
      <c r="F110" s="5">
        <v>14</v>
      </c>
      <c r="G110" s="28">
        <v>280000</v>
      </c>
      <c r="P110" s="5">
        <v>14</v>
      </c>
      <c r="Q110" s="4">
        <v>200</v>
      </c>
      <c r="T110" s="4" t="s">
        <v>37</v>
      </c>
    </row>
    <row r="111" spans="1:20">
      <c r="A111" s="4">
        <f t="shared" si="1"/>
        <v>110</v>
      </c>
      <c r="B111" s="4" t="s">
        <v>157</v>
      </c>
      <c r="C111" s="4" t="s">
        <v>28</v>
      </c>
      <c r="D111" s="4" t="s">
        <v>36</v>
      </c>
      <c r="E111" s="4" t="s">
        <v>42</v>
      </c>
      <c r="F111" s="5">
        <v>6.8</v>
      </c>
      <c r="G111" s="28">
        <v>12300000</v>
      </c>
      <c r="O111" s="5" t="s">
        <v>31</v>
      </c>
      <c r="P111" s="5">
        <v>6.8</v>
      </c>
      <c r="Q111" s="4">
        <v>3400</v>
      </c>
      <c r="R111" s="4">
        <v>91.5</v>
      </c>
      <c r="S111" s="4">
        <v>2</v>
      </c>
      <c r="T111" s="4" t="s">
        <v>133</v>
      </c>
    </row>
    <row r="112" spans="1:20">
      <c r="A112" s="4">
        <f t="shared" si="1"/>
        <v>111</v>
      </c>
      <c r="B112" s="4" t="s">
        <v>158</v>
      </c>
      <c r="C112" s="4" t="s">
        <v>35</v>
      </c>
      <c r="D112" s="4" t="s">
        <v>36</v>
      </c>
      <c r="E112" s="4" t="s">
        <v>30</v>
      </c>
      <c r="F112" s="5">
        <v>17.8</v>
      </c>
      <c r="G112" s="28">
        <v>670000</v>
      </c>
      <c r="P112" s="5">
        <v>17.8</v>
      </c>
      <c r="Q112" s="4">
        <v>264</v>
      </c>
      <c r="T112" s="4" t="s">
        <v>37</v>
      </c>
    </row>
    <row r="113" spans="1:20">
      <c r="A113" s="4">
        <f t="shared" si="1"/>
        <v>112</v>
      </c>
      <c r="B113" s="4" t="s">
        <v>159</v>
      </c>
      <c r="C113" s="4" t="s">
        <v>28</v>
      </c>
      <c r="D113" s="4" t="s">
        <v>29</v>
      </c>
      <c r="E113" s="4" t="s">
        <v>30</v>
      </c>
      <c r="F113" s="5">
        <v>11.58</v>
      </c>
      <c r="G113" s="28"/>
      <c r="M113" s="4"/>
      <c r="N113" s="4"/>
      <c r="O113" s="4"/>
      <c r="P113" s="5">
        <v>15.3</v>
      </c>
      <c r="S113" s="4">
        <v>2.25</v>
      </c>
    </row>
    <row r="114" spans="1:20">
      <c r="A114" s="4">
        <f t="shared" si="1"/>
        <v>113</v>
      </c>
      <c r="B114" s="4" t="s">
        <v>160</v>
      </c>
      <c r="C114" s="4" t="s">
        <v>35</v>
      </c>
      <c r="D114" s="4" t="s">
        <v>36</v>
      </c>
      <c r="E114" s="4" t="s">
        <v>30</v>
      </c>
      <c r="F114" s="5">
        <v>25</v>
      </c>
      <c r="G114" s="28">
        <v>500000</v>
      </c>
      <c r="P114" s="5">
        <v>25</v>
      </c>
      <c r="Q114" s="4">
        <v>320</v>
      </c>
      <c r="T114" s="4" t="s">
        <v>37</v>
      </c>
    </row>
    <row r="115" spans="1:20">
      <c r="A115" s="4">
        <f t="shared" si="1"/>
        <v>114</v>
      </c>
      <c r="B115" s="45" t="s">
        <v>161</v>
      </c>
      <c r="C115" s="4" t="s">
        <v>28</v>
      </c>
      <c r="D115" s="4" t="s">
        <v>29</v>
      </c>
      <c r="E115" s="4" t="s">
        <v>30</v>
      </c>
      <c r="F115" s="5">
        <v>67.06</v>
      </c>
      <c r="G115" s="28">
        <v>30600000</v>
      </c>
      <c r="H115" s="4">
        <v>50</v>
      </c>
      <c r="I115" s="4">
        <v>0.2</v>
      </c>
      <c r="J115" s="4">
        <v>2</v>
      </c>
      <c r="K115" s="4">
        <v>1</v>
      </c>
      <c r="L115" s="4">
        <v>0</v>
      </c>
      <c r="M115" s="5">
        <v>0.7</v>
      </c>
      <c r="N115" s="5">
        <v>0.7</v>
      </c>
      <c r="O115" s="5" t="s">
        <v>39</v>
      </c>
      <c r="P115" s="5">
        <v>56.4</v>
      </c>
      <c r="Q115" s="1">
        <v>17000</v>
      </c>
      <c r="R115" s="4">
        <v>121</v>
      </c>
      <c r="S115" s="4">
        <v>0.75</v>
      </c>
      <c r="T115" s="21" t="s">
        <v>32</v>
      </c>
    </row>
    <row r="116" spans="1:20">
      <c r="A116" s="4">
        <f t="shared" si="1"/>
        <v>115</v>
      </c>
      <c r="B116" s="4" t="s">
        <v>162</v>
      </c>
      <c r="C116" s="4" t="s">
        <v>28</v>
      </c>
      <c r="D116" s="4" t="s">
        <v>36</v>
      </c>
      <c r="E116" s="4" t="s">
        <v>30</v>
      </c>
      <c r="F116" s="5">
        <v>8.2</v>
      </c>
      <c r="M116" s="4"/>
      <c r="N116" s="4"/>
      <c r="O116" s="4"/>
      <c r="P116" s="5">
        <v>10.7</v>
      </c>
      <c r="R116" s="4">
        <v>47.2</v>
      </c>
      <c r="T116" s="4" t="s">
        <v>90</v>
      </c>
    </row>
    <row r="117" spans="1:20">
      <c r="A117" s="4">
        <f t="shared" si="1"/>
        <v>116</v>
      </c>
      <c r="B117" s="4" t="s">
        <v>163</v>
      </c>
      <c r="C117" s="4" t="s">
        <v>35</v>
      </c>
      <c r="D117" s="4" t="s">
        <v>36</v>
      </c>
      <c r="E117" s="4" t="s">
        <v>42</v>
      </c>
      <c r="F117" s="5">
        <v>9</v>
      </c>
      <c r="G117" s="28">
        <v>1100000</v>
      </c>
      <c r="P117" s="5">
        <v>9</v>
      </c>
      <c r="Q117" s="4">
        <v>400</v>
      </c>
      <c r="T117" s="4" t="s">
        <v>37</v>
      </c>
    </row>
    <row r="118" spans="1:20">
      <c r="A118" s="4">
        <f t="shared" si="1"/>
        <v>117</v>
      </c>
      <c r="B118" s="45" t="s">
        <v>164</v>
      </c>
      <c r="C118" s="4" t="s">
        <v>28</v>
      </c>
      <c r="D118" s="4" t="s">
        <v>29</v>
      </c>
      <c r="E118" s="55" t="s">
        <v>42</v>
      </c>
      <c r="F118" s="5">
        <v>12.19</v>
      </c>
      <c r="G118" s="28">
        <v>21000000</v>
      </c>
      <c r="H118" s="4">
        <v>0.03</v>
      </c>
      <c r="I118" s="4">
        <v>0.35</v>
      </c>
      <c r="J118" s="4">
        <v>7</v>
      </c>
      <c r="K118" s="4">
        <v>0.5</v>
      </c>
      <c r="L118" s="4">
        <v>20</v>
      </c>
      <c r="M118" s="5">
        <v>0.7</v>
      </c>
      <c r="N118" s="5">
        <v>0.6</v>
      </c>
      <c r="O118" s="5" t="s">
        <v>39</v>
      </c>
      <c r="P118" s="5">
        <v>12.8</v>
      </c>
      <c r="Q118" s="4">
        <v>3890</v>
      </c>
      <c r="R118" s="4">
        <v>73.1</v>
      </c>
      <c r="S118" s="4">
        <v>3</v>
      </c>
      <c r="T118" s="21" t="s">
        <v>32</v>
      </c>
    </row>
    <row r="119" spans="1:20">
      <c r="A119" s="4">
        <f t="shared" si="1"/>
        <v>118</v>
      </c>
      <c r="B119" s="4" t="s">
        <v>165</v>
      </c>
      <c r="C119" s="4" t="s">
        <v>35</v>
      </c>
      <c r="D119" s="4" t="s">
        <v>36</v>
      </c>
      <c r="E119" s="4" t="s">
        <v>30</v>
      </c>
      <c r="F119" s="5">
        <v>10</v>
      </c>
      <c r="G119" s="28">
        <v>120000</v>
      </c>
      <c r="P119" s="5">
        <v>10</v>
      </c>
      <c r="Q119" s="4">
        <v>73</v>
      </c>
      <c r="T119" s="4" t="s">
        <v>37</v>
      </c>
    </row>
    <row r="120" spans="1:20">
      <c r="A120" s="4">
        <f t="shared" si="1"/>
        <v>119</v>
      </c>
      <c r="B120" s="4" t="s">
        <v>166</v>
      </c>
      <c r="C120" s="4" t="s">
        <v>35</v>
      </c>
      <c r="D120" s="4" t="s">
        <v>36</v>
      </c>
      <c r="E120" s="4" t="s">
        <v>30</v>
      </c>
      <c r="F120" s="5">
        <v>8</v>
      </c>
      <c r="G120" s="28">
        <v>240000</v>
      </c>
      <c r="O120" s="5" t="s">
        <v>39</v>
      </c>
      <c r="P120" s="5">
        <v>8</v>
      </c>
      <c r="R120" s="4">
        <v>20</v>
      </c>
      <c r="T120" s="4" t="s">
        <v>40</v>
      </c>
    </row>
    <row r="121" spans="1:20">
      <c r="A121" s="4">
        <f t="shared" si="1"/>
        <v>120</v>
      </c>
      <c r="B121" s="4" t="s">
        <v>167</v>
      </c>
      <c r="C121" s="4" t="s">
        <v>35</v>
      </c>
      <c r="D121" s="4" t="s">
        <v>36</v>
      </c>
      <c r="E121" s="4" t="s">
        <v>30</v>
      </c>
      <c r="F121" s="5">
        <v>3</v>
      </c>
      <c r="G121" s="28">
        <v>100000</v>
      </c>
      <c r="P121" s="5">
        <v>3</v>
      </c>
      <c r="Q121" s="4">
        <v>20</v>
      </c>
      <c r="T121" s="4" t="s">
        <v>37</v>
      </c>
    </row>
    <row r="122" spans="1:20">
      <c r="A122" s="4">
        <f t="shared" si="1"/>
        <v>121</v>
      </c>
      <c r="B122" s="4" t="s">
        <v>168</v>
      </c>
      <c r="C122" s="4" t="s">
        <v>35</v>
      </c>
      <c r="D122" s="4" t="s">
        <v>36</v>
      </c>
      <c r="E122" s="4" t="s">
        <v>30</v>
      </c>
      <c r="F122" s="5">
        <v>6</v>
      </c>
      <c r="G122" s="28">
        <v>64000</v>
      </c>
      <c r="P122" s="5">
        <v>6</v>
      </c>
      <c r="Q122" s="4">
        <v>50</v>
      </c>
      <c r="T122" s="4" t="s">
        <v>37</v>
      </c>
    </row>
    <row r="123" spans="1:20">
      <c r="A123" s="4">
        <f t="shared" si="1"/>
        <v>122</v>
      </c>
      <c r="B123" s="39" t="s">
        <v>169</v>
      </c>
      <c r="C123" s="39" t="s">
        <v>35</v>
      </c>
      <c r="D123" s="39" t="s">
        <v>29</v>
      </c>
      <c r="E123" s="39"/>
      <c r="F123" s="46">
        <v>15</v>
      </c>
      <c r="G123" s="47">
        <v>195000</v>
      </c>
      <c r="H123" s="39"/>
      <c r="I123" s="39"/>
      <c r="J123" s="39"/>
      <c r="K123" s="39"/>
      <c r="L123" s="39"/>
      <c r="M123" s="39"/>
      <c r="N123" s="39"/>
      <c r="O123" s="39"/>
      <c r="P123" s="46">
        <v>11.6</v>
      </c>
      <c r="Q123" s="39"/>
      <c r="R123" s="39"/>
      <c r="S123" s="39"/>
      <c r="T123" s="39"/>
    </row>
    <row r="124" spans="1:20">
      <c r="A124" s="4">
        <f t="shared" si="1"/>
        <v>123</v>
      </c>
      <c r="B124" s="4" t="s">
        <v>170</v>
      </c>
      <c r="C124" s="4" t="s">
        <v>35</v>
      </c>
      <c r="D124" s="4" t="s">
        <v>36</v>
      </c>
      <c r="E124" s="4" t="s">
        <v>30</v>
      </c>
      <c r="F124" s="5">
        <v>20</v>
      </c>
      <c r="G124" s="28">
        <v>360000</v>
      </c>
      <c r="P124" s="5">
        <v>20</v>
      </c>
      <c r="Q124" s="4">
        <v>2123</v>
      </c>
      <c r="T124" s="4" t="s">
        <v>37</v>
      </c>
    </row>
    <row r="125" spans="1:20">
      <c r="A125" s="4">
        <f t="shared" si="1"/>
        <v>124</v>
      </c>
      <c r="B125" s="4" t="s">
        <v>171</v>
      </c>
      <c r="C125" s="4" t="s">
        <v>35</v>
      </c>
      <c r="D125" s="4" t="s">
        <v>36</v>
      </c>
      <c r="E125" s="4" t="s">
        <v>30</v>
      </c>
      <c r="F125" s="5">
        <v>7.6</v>
      </c>
      <c r="G125" s="28">
        <v>372000</v>
      </c>
      <c r="P125" s="5">
        <v>7.6</v>
      </c>
      <c r="Q125" s="4">
        <v>550</v>
      </c>
      <c r="T125" s="4" t="s">
        <v>37</v>
      </c>
    </row>
    <row r="126" spans="1:20">
      <c r="A126" s="4">
        <f t="shared" si="1"/>
        <v>125</v>
      </c>
      <c r="B126" s="4" t="s">
        <v>172</v>
      </c>
      <c r="C126" s="4" t="s">
        <v>35</v>
      </c>
      <c r="D126" s="4" t="s">
        <v>36</v>
      </c>
      <c r="E126" s="4" t="s">
        <v>30</v>
      </c>
      <c r="F126" s="5">
        <v>13</v>
      </c>
      <c r="G126" s="28">
        <v>220000</v>
      </c>
      <c r="O126" s="5" t="s">
        <v>31</v>
      </c>
      <c r="P126" s="5">
        <v>16</v>
      </c>
      <c r="R126" s="4">
        <v>30</v>
      </c>
      <c r="T126" s="4" t="s">
        <v>40</v>
      </c>
    </row>
    <row r="127" spans="1:20">
      <c r="A127" s="4">
        <f t="shared" si="1"/>
        <v>126</v>
      </c>
      <c r="B127" s="4" t="s">
        <v>173</v>
      </c>
      <c r="C127" s="4" t="s">
        <v>35</v>
      </c>
      <c r="D127" s="4" t="s">
        <v>29</v>
      </c>
      <c r="E127" s="4" t="s">
        <v>30</v>
      </c>
      <c r="F127" s="5">
        <v>9.9</v>
      </c>
      <c r="G127" s="28">
        <v>734000</v>
      </c>
      <c r="O127" s="5" t="s">
        <v>102</v>
      </c>
      <c r="P127" s="5">
        <v>9</v>
      </c>
      <c r="Q127" s="4">
        <v>50</v>
      </c>
      <c r="R127" s="4">
        <v>7.5</v>
      </c>
      <c r="S127" s="4">
        <v>4</v>
      </c>
      <c r="T127" s="4" t="s">
        <v>40</v>
      </c>
    </row>
    <row r="128" spans="1:20">
      <c r="A128" s="4">
        <f t="shared" si="1"/>
        <v>127</v>
      </c>
      <c r="B128" s="4" t="s">
        <v>174</v>
      </c>
      <c r="C128" s="4" t="s">
        <v>28</v>
      </c>
      <c r="D128" s="4" t="s">
        <v>36</v>
      </c>
      <c r="E128" s="4" t="s">
        <v>30</v>
      </c>
      <c r="G128" s="28">
        <v>1170000</v>
      </c>
      <c r="M128" s="4"/>
      <c r="N128" s="4"/>
      <c r="O128" s="4"/>
      <c r="P128" s="5">
        <v>3.75</v>
      </c>
      <c r="R128" s="4">
        <v>33.4</v>
      </c>
      <c r="T128" s="4" t="s">
        <v>90</v>
      </c>
    </row>
    <row r="129" spans="1:20">
      <c r="A129" s="4">
        <f t="shared" si="1"/>
        <v>128</v>
      </c>
      <c r="B129" s="36" t="s">
        <v>175</v>
      </c>
      <c r="C129" s="36" t="s">
        <v>28</v>
      </c>
      <c r="D129" s="39"/>
      <c r="E129" s="39" t="s">
        <v>30</v>
      </c>
      <c r="F129" s="46">
        <v>3.7</v>
      </c>
      <c r="G129" s="47"/>
      <c r="H129" s="39"/>
      <c r="I129" s="39"/>
      <c r="J129" s="39"/>
      <c r="K129" s="39"/>
      <c r="L129" s="39"/>
      <c r="M129" s="39"/>
      <c r="N129" s="39"/>
      <c r="O129" s="39"/>
      <c r="P129" s="46"/>
      <c r="Q129" s="39"/>
      <c r="R129" s="39">
        <v>45.7</v>
      </c>
      <c r="S129" s="39"/>
      <c r="T129" s="39"/>
    </row>
    <row r="130" s="3" customFormat="1" spans="1:20">
      <c r="A130" s="48">
        <f t="shared" si="1"/>
        <v>129</v>
      </c>
      <c r="B130" s="56" t="s">
        <v>176</v>
      </c>
      <c r="C130" s="56"/>
      <c r="D130" s="48" t="s">
        <v>36</v>
      </c>
      <c r="E130" s="48" t="s">
        <v>42</v>
      </c>
      <c r="F130" s="49">
        <v>5.9</v>
      </c>
      <c r="G130" s="50">
        <v>63000</v>
      </c>
      <c r="H130" s="48">
        <v>68.7048776134901</v>
      </c>
      <c r="I130" s="48">
        <v>0.24</v>
      </c>
      <c r="J130" s="48">
        <v>4.49467177917428</v>
      </c>
      <c r="K130" s="48">
        <v>0.920891182546808</v>
      </c>
      <c r="L130" s="48">
        <v>0</v>
      </c>
      <c r="M130" s="48">
        <v>0.645</v>
      </c>
      <c r="N130" s="48">
        <v>0.645</v>
      </c>
      <c r="O130" s="48"/>
      <c r="P130" s="49"/>
      <c r="Q130" s="48">
        <v>242</v>
      </c>
      <c r="R130" s="48"/>
      <c r="S130" s="48"/>
      <c r="T130" s="48" t="s">
        <v>46</v>
      </c>
    </row>
    <row r="131" spans="1:20">
      <c r="A131" s="4">
        <f t="shared" si="1"/>
        <v>130</v>
      </c>
      <c r="B131" s="57" t="s">
        <v>177</v>
      </c>
      <c r="C131" s="51" t="s">
        <v>28</v>
      </c>
      <c r="D131" s="4" t="s">
        <v>36</v>
      </c>
      <c r="E131" s="4" t="s">
        <v>30</v>
      </c>
      <c r="F131" s="5">
        <v>5.9</v>
      </c>
      <c r="G131" s="28"/>
      <c r="H131" s="4">
        <v>0.007</v>
      </c>
      <c r="J131" s="4">
        <v>4.9</v>
      </c>
      <c r="K131" s="4">
        <v>0.42</v>
      </c>
      <c r="L131" s="4">
        <v>26</v>
      </c>
      <c r="M131" s="4">
        <v>0.42</v>
      </c>
      <c r="N131" s="4">
        <v>0.44</v>
      </c>
      <c r="O131" s="4"/>
      <c r="Q131" s="4">
        <v>390</v>
      </c>
      <c r="R131" s="4">
        <v>22.7</v>
      </c>
      <c r="S131" s="4">
        <v>5.1</v>
      </c>
    </row>
    <row r="132" spans="1:20">
      <c r="A132" s="4">
        <f t="shared" si="1"/>
        <v>131</v>
      </c>
      <c r="B132" s="29" t="s">
        <v>178</v>
      </c>
      <c r="C132" s="51"/>
      <c r="F132" s="5">
        <v>4.3</v>
      </c>
      <c r="G132" s="28"/>
      <c r="H132" s="4">
        <v>7</v>
      </c>
      <c r="I132" s="4">
        <v>0.24</v>
      </c>
      <c r="J132" s="4">
        <v>20</v>
      </c>
      <c r="K132" s="4">
        <v>1</v>
      </c>
      <c r="L132" s="4">
        <v>0</v>
      </c>
      <c r="M132" s="4"/>
      <c r="N132" s="4"/>
      <c r="O132" s="4"/>
      <c r="Q132" s="4">
        <v>171</v>
      </c>
      <c r="T132" s="21" t="s">
        <v>32</v>
      </c>
    </row>
    <row r="133" spans="1:20">
      <c r="A133" s="4">
        <f t="shared" si="1"/>
        <v>132</v>
      </c>
      <c r="B133" s="4" t="s">
        <v>179</v>
      </c>
      <c r="C133" s="4" t="s">
        <v>28</v>
      </c>
      <c r="D133" s="4" t="s">
        <v>29</v>
      </c>
      <c r="E133" s="4" t="s">
        <v>30</v>
      </c>
      <c r="F133" s="5">
        <v>4.57</v>
      </c>
      <c r="G133" s="28">
        <v>333000</v>
      </c>
      <c r="P133" s="5">
        <v>4.57</v>
      </c>
      <c r="R133" s="4">
        <v>16.8</v>
      </c>
    </row>
    <row r="134" spans="1:20">
      <c r="A134" s="4">
        <f t="shared" si="1"/>
        <v>133</v>
      </c>
      <c r="B134" s="4" t="s">
        <v>180</v>
      </c>
      <c r="C134" s="4" t="s">
        <v>28</v>
      </c>
      <c r="D134" s="4" t="s">
        <v>29</v>
      </c>
      <c r="E134" s="4" t="s">
        <v>30</v>
      </c>
      <c r="F134" s="5">
        <v>5.2</v>
      </c>
      <c r="M134" s="4"/>
      <c r="N134" s="4"/>
      <c r="O134" s="4"/>
      <c r="P134" s="5">
        <v>5.18</v>
      </c>
      <c r="Q134" s="4">
        <v>110</v>
      </c>
      <c r="R134" s="4">
        <v>13.5</v>
      </c>
      <c r="S134" s="4">
        <v>0.5</v>
      </c>
      <c r="T134" s="4" t="s">
        <v>90</v>
      </c>
    </row>
    <row r="135" spans="1:20">
      <c r="A135" s="4">
        <f t="shared" si="1"/>
        <v>134</v>
      </c>
      <c r="B135" s="4" t="s">
        <v>181</v>
      </c>
      <c r="C135" s="4" t="s">
        <v>28</v>
      </c>
      <c r="D135" s="4" t="s">
        <v>29</v>
      </c>
      <c r="E135" s="43" t="s">
        <v>42</v>
      </c>
      <c r="M135" s="4"/>
      <c r="N135" s="4"/>
      <c r="O135" s="4"/>
      <c r="P135" s="5">
        <v>21.3</v>
      </c>
      <c r="R135" s="4">
        <v>17.5</v>
      </c>
      <c r="T135" s="4" t="s">
        <v>90</v>
      </c>
    </row>
    <row r="136" spans="1:20">
      <c r="A136" s="4">
        <f t="shared" si="1"/>
        <v>135</v>
      </c>
      <c r="B136" s="4" t="s">
        <v>182</v>
      </c>
      <c r="C136" s="4" t="s">
        <v>104</v>
      </c>
      <c r="D136" s="4" t="s">
        <v>29</v>
      </c>
      <c r="E136" s="4" t="s">
        <v>30</v>
      </c>
      <c r="F136" s="5">
        <v>15.4</v>
      </c>
      <c r="G136" s="28">
        <v>9209000</v>
      </c>
      <c r="M136" s="4"/>
      <c r="N136" s="4"/>
      <c r="O136" s="4"/>
      <c r="P136" s="5">
        <v>15.4</v>
      </c>
      <c r="Q136" s="4">
        <v>1800</v>
      </c>
      <c r="R136" s="4">
        <v>50</v>
      </c>
      <c r="S136" s="4">
        <v>6</v>
      </c>
      <c r="T136" s="4" t="s">
        <v>105</v>
      </c>
    </row>
    <row r="137" spans="1:20">
      <c r="A137" s="4">
        <f t="shared" si="1"/>
        <v>136</v>
      </c>
      <c r="B137" s="36" t="s">
        <v>183</v>
      </c>
      <c r="C137" s="36" t="s">
        <v>115</v>
      </c>
      <c r="D137" s="39"/>
      <c r="E137" s="39"/>
      <c r="F137" s="46">
        <v>14.8</v>
      </c>
      <c r="G137" s="47">
        <v>2360000</v>
      </c>
      <c r="H137" s="39"/>
      <c r="I137" s="39"/>
      <c r="J137" s="39"/>
      <c r="K137" s="39"/>
      <c r="L137" s="39"/>
      <c r="M137" s="39"/>
      <c r="N137" s="39"/>
      <c r="O137" s="39"/>
      <c r="P137" s="46">
        <v>13.36</v>
      </c>
      <c r="Q137" s="39"/>
      <c r="R137" s="39">
        <v>70</v>
      </c>
      <c r="S137" s="39"/>
      <c r="T137" s="39"/>
    </row>
    <row r="138" spans="1:20">
      <c r="A138" s="4">
        <f t="shared" ref="A138:A199" si="2">ROW()-1</f>
        <v>137</v>
      </c>
      <c r="B138" s="36" t="s">
        <v>184</v>
      </c>
      <c r="C138" s="36" t="s">
        <v>28</v>
      </c>
      <c r="D138" s="39"/>
      <c r="E138" s="39" t="s">
        <v>30</v>
      </c>
      <c r="F138" s="46">
        <v>5.8</v>
      </c>
      <c r="G138" s="47"/>
      <c r="H138" s="39"/>
      <c r="I138" s="39"/>
      <c r="J138" s="39"/>
      <c r="K138" s="39"/>
      <c r="L138" s="39"/>
      <c r="M138" s="39"/>
      <c r="N138" s="39"/>
      <c r="O138" s="39"/>
      <c r="P138" s="46">
        <v>4.9</v>
      </c>
      <c r="Q138" s="39"/>
      <c r="R138" s="39"/>
      <c r="S138" s="39"/>
      <c r="T138" s="39"/>
    </row>
    <row r="139" spans="1:20">
      <c r="A139" s="4">
        <f t="shared" si="2"/>
        <v>138</v>
      </c>
      <c r="B139" s="36" t="s">
        <v>185</v>
      </c>
      <c r="C139" s="36" t="s">
        <v>28</v>
      </c>
      <c r="D139" s="39"/>
      <c r="E139" s="39" t="s">
        <v>30</v>
      </c>
      <c r="F139" s="46">
        <v>8.8</v>
      </c>
      <c r="G139" s="47"/>
      <c r="H139" s="39"/>
      <c r="I139" s="39"/>
      <c r="J139" s="39"/>
      <c r="K139" s="39"/>
      <c r="L139" s="39"/>
      <c r="M139" s="39"/>
      <c r="N139" s="39"/>
      <c r="O139" s="39"/>
      <c r="P139" s="46">
        <v>8.8</v>
      </c>
      <c r="Q139" s="39"/>
      <c r="R139" s="39"/>
      <c r="S139" s="39"/>
      <c r="T139" s="39"/>
    </row>
    <row r="140" spans="1:20">
      <c r="A140" s="4">
        <f t="shared" si="2"/>
        <v>139</v>
      </c>
      <c r="B140" s="4" t="s">
        <v>186</v>
      </c>
      <c r="C140" s="4" t="s">
        <v>35</v>
      </c>
      <c r="D140" s="4" t="s">
        <v>29</v>
      </c>
      <c r="E140" s="4" t="s">
        <v>30</v>
      </c>
      <c r="F140" s="5">
        <v>18</v>
      </c>
      <c r="G140" s="28">
        <v>80000000</v>
      </c>
      <c r="O140" s="5" t="s">
        <v>31</v>
      </c>
      <c r="P140" s="5">
        <v>18</v>
      </c>
      <c r="T140" s="4" t="s">
        <v>40</v>
      </c>
    </row>
    <row r="141" spans="1:20">
      <c r="A141" s="4">
        <f t="shared" si="2"/>
        <v>140</v>
      </c>
      <c r="B141" s="4" t="s">
        <v>187</v>
      </c>
      <c r="C141" s="4" t="s">
        <v>35</v>
      </c>
      <c r="D141" s="4" t="s">
        <v>36</v>
      </c>
      <c r="E141" s="4" t="s">
        <v>30</v>
      </c>
      <c r="F141" s="5">
        <v>12</v>
      </c>
      <c r="G141" s="28">
        <v>140000</v>
      </c>
      <c r="P141" s="5">
        <v>12</v>
      </c>
      <c r="Q141" s="4">
        <v>158</v>
      </c>
      <c r="T141" s="4" t="s">
        <v>37</v>
      </c>
    </row>
    <row r="142" spans="1:20">
      <c r="A142" s="4">
        <f t="shared" si="2"/>
        <v>141</v>
      </c>
      <c r="B142" s="4" t="s">
        <v>188</v>
      </c>
      <c r="C142" s="4" t="s">
        <v>28</v>
      </c>
      <c r="D142" s="4" t="s">
        <v>36</v>
      </c>
      <c r="E142" s="4" t="s">
        <v>30</v>
      </c>
      <c r="F142" s="5">
        <v>7.6</v>
      </c>
      <c r="G142" s="28"/>
      <c r="M142" s="4"/>
      <c r="N142" s="4"/>
      <c r="O142" s="4"/>
      <c r="P142" s="5">
        <v>7.6</v>
      </c>
    </row>
    <row r="143" spans="1:20">
      <c r="A143" s="4">
        <f t="shared" si="2"/>
        <v>142</v>
      </c>
      <c r="B143" s="36" t="s">
        <v>189</v>
      </c>
      <c r="C143" s="36" t="s">
        <v>28</v>
      </c>
      <c r="D143" s="39"/>
      <c r="E143" s="39"/>
      <c r="F143" s="36">
        <v>3.7</v>
      </c>
      <c r="G143" s="47"/>
      <c r="H143" s="39"/>
      <c r="I143" s="39"/>
      <c r="J143" s="39"/>
      <c r="K143" s="39"/>
      <c r="L143" s="39"/>
      <c r="M143" s="39"/>
      <c r="N143" s="39"/>
      <c r="O143" s="39"/>
      <c r="P143" s="46"/>
      <c r="Q143" s="39"/>
      <c r="R143" s="39">
        <v>12.2</v>
      </c>
      <c r="S143" s="39"/>
      <c r="T143" s="39"/>
    </row>
    <row r="144" spans="1:20">
      <c r="A144" s="4">
        <f t="shared" si="2"/>
        <v>143</v>
      </c>
      <c r="B144" s="45" t="s">
        <v>190</v>
      </c>
      <c r="C144" s="4" t="s">
        <v>28</v>
      </c>
      <c r="D144" s="4" t="s">
        <v>29</v>
      </c>
      <c r="E144" s="4" t="s">
        <v>30</v>
      </c>
      <c r="F144" s="5">
        <v>4.27</v>
      </c>
      <c r="G144" s="28">
        <v>575000</v>
      </c>
      <c r="H144" s="4">
        <v>0.03</v>
      </c>
      <c r="I144" s="4">
        <v>0.3</v>
      </c>
      <c r="J144" s="4">
        <v>4</v>
      </c>
      <c r="K144" s="4">
        <v>0.45</v>
      </c>
      <c r="L144" s="4">
        <v>30</v>
      </c>
      <c r="M144" s="5">
        <v>0.2</v>
      </c>
      <c r="N144" s="5">
        <v>0.4</v>
      </c>
      <c r="P144" s="5">
        <v>5.18</v>
      </c>
      <c r="R144" s="4">
        <v>8.23</v>
      </c>
      <c r="T144" s="21" t="s">
        <v>32</v>
      </c>
    </row>
    <row r="145" spans="1:20">
      <c r="A145" s="4">
        <f t="shared" si="2"/>
        <v>144</v>
      </c>
      <c r="B145" s="4" t="s">
        <v>191</v>
      </c>
      <c r="C145" s="4" t="s">
        <v>28</v>
      </c>
      <c r="D145" s="4" t="s">
        <v>36</v>
      </c>
      <c r="E145" s="43" t="s">
        <v>42</v>
      </c>
      <c r="F145" s="5">
        <v>38.1</v>
      </c>
      <c r="G145" s="28">
        <v>18900000</v>
      </c>
      <c r="O145" s="5" t="s">
        <v>39</v>
      </c>
      <c r="P145" s="5">
        <v>24.4</v>
      </c>
      <c r="Q145" s="4">
        <v>8500</v>
      </c>
      <c r="R145" s="4">
        <v>94.5</v>
      </c>
      <c r="S145" s="4">
        <v>0.75</v>
      </c>
      <c r="T145" s="4" t="s">
        <v>40</v>
      </c>
    </row>
    <row r="146" spans="1:20">
      <c r="A146" s="4">
        <f t="shared" si="2"/>
        <v>145</v>
      </c>
      <c r="B146" s="4" t="s">
        <v>192</v>
      </c>
      <c r="C146" s="4" t="s">
        <v>104</v>
      </c>
      <c r="D146" s="4" t="s">
        <v>36</v>
      </c>
      <c r="E146" s="4" t="s">
        <v>30</v>
      </c>
      <c r="F146" s="5">
        <v>30.78</v>
      </c>
      <c r="G146" s="28">
        <v>215300000</v>
      </c>
      <c r="P146" s="5">
        <v>30</v>
      </c>
      <c r="Q146" s="4">
        <v>14158</v>
      </c>
      <c r="R146" s="4">
        <v>137.2</v>
      </c>
      <c r="S146" s="4">
        <v>4</v>
      </c>
      <c r="T146" s="4" t="s">
        <v>105</v>
      </c>
    </row>
    <row r="147" spans="1:20">
      <c r="A147" s="4">
        <f t="shared" si="2"/>
        <v>146</v>
      </c>
      <c r="B147" s="4" t="s">
        <v>193</v>
      </c>
      <c r="C147" s="4" t="s">
        <v>104</v>
      </c>
      <c r="D147" s="4" t="s">
        <v>29</v>
      </c>
      <c r="E147" s="4" t="s">
        <v>30</v>
      </c>
      <c r="F147" s="5">
        <v>23.08</v>
      </c>
      <c r="G147" s="28">
        <v>13980000</v>
      </c>
      <c r="M147" s="4"/>
      <c r="N147" s="4"/>
      <c r="O147" s="4"/>
      <c r="P147" s="5">
        <v>23.08</v>
      </c>
      <c r="T147" s="4" t="s">
        <v>105</v>
      </c>
    </row>
    <row r="148" spans="1:20">
      <c r="A148" s="4">
        <f t="shared" si="2"/>
        <v>147</v>
      </c>
      <c r="B148" s="45" t="s">
        <v>194</v>
      </c>
      <c r="C148" s="4" t="s">
        <v>28</v>
      </c>
      <c r="D148" s="4" t="s">
        <v>36</v>
      </c>
      <c r="E148" s="4" t="s">
        <v>30</v>
      </c>
      <c r="F148" s="5">
        <v>11.58</v>
      </c>
      <c r="G148" s="28">
        <v>505000</v>
      </c>
      <c r="H148" s="4">
        <v>0.03</v>
      </c>
      <c r="I148" s="4">
        <v>0.35</v>
      </c>
      <c r="J148" s="4">
        <v>8</v>
      </c>
      <c r="K148" s="4">
        <v>0.5</v>
      </c>
      <c r="L148" s="4">
        <v>10</v>
      </c>
      <c r="M148" s="5">
        <v>1</v>
      </c>
      <c r="N148" s="5">
        <v>1</v>
      </c>
      <c r="O148" s="5" t="s">
        <v>31</v>
      </c>
      <c r="P148" s="5">
        <v>12.8</v>
      </c>
      <c r="Q148" s="4">
        <v>680</v>
      </c>
      <c r="R148" s="4">
        <v>27.3</v>
      </c>
      <c r="S148" s="4">
        <v>0.5</v>
      </c>
      <c r="T148" s="21" t="s">
        <v>32</v>
      </c>
    </row>
    <row r="149" spans="1:20">
      <c r="A149" s="4">
        <f t="shared" si="2"/>
        <v>148</v>
      </c>
      <c r="B149" s="4" t="s">
        <v>195</v>
      </c>
      <c r="C149" s="4" t="s">
        <v>104</v>
      </c>
      <c r="D149" s="4" t="s">
        <v>36</v>
      </c>
      <c r="E149" s="4" t="s">
        <v>42</v>
      </c>
      <c r="F149" s="5">
        <v>36.09</v>
      </c>
      <c r="G149" s="28">
        <v>86000000</v>
      </c>
      <c r="M149" s="4"/>
      <c r="N149" s="4"/>
      <c r="O149" s="4"/>
      <c r="P149" s="5">
        <v>36</v>
      </c>
      <c r="Q149" s="4">
        <v>16000</v>
      </c>
      <c r="R149" s="4">
        <v>70</v>
      </c>
      <c r="S149" s="4">
        <v>4</v>
      </c>
      <c r="T149" s="4" t="s">
        <v>105</v>
      </c>
    </row>
    <row r="150" spans="1:20">
      <c r="A150" s="4">
        <f t="shared" si="2"/>
        <v>149</v>
      </c>
      <c r="B150" s="4" t="s">
        <v>196</v>
      </c>
      <c r="C150" s="4" t="s">
        <v>28</v>
      </c>
      <c r="D150" s="4" t="s">
        <v>36</v>
      </c>
      <c r="E150" s="4" t="s">
        <v>30</v>
      </c>
      <c r="F150" s="5">
        <v>6.1</v>
      </c>
      <c r="G150" s="28">
        <v>9860000</v>
      </c>
      <c r="P150" s="5">
        <v>6.1</v>
      </c>
      <c r="Q150" s="4">
        <v>1100</v>
      </c>
      <c r="S150" s="4">
        <v>5</v>
      </c>
      <c r="T150" s="4" t="s">
        <v>197</v>
      </c>
    </row>
    <row r="151" spans="1:20">
      <c r="A151" s="4">
        <f t="shared" si="2"/>
        <v>150</v>
      </c>
      <c r="B151" s="4" t="s">
        <v>198</v>
      </c>
      <c r="C151" s="4" t="s">
        <v>104</v>
      </c>
      <c r="D151" s="4" t="s">
        <v>36</v>
      </c>
      <c r="E151" s="4" t="s">
        <v>30</v>
      </c>
      <c r="F151" s="5">
        <v>11.5</v>
      </c>
      <c r="G151" s="28">
        <v>12300000</v>
      </c>
      <c r="O151" s="5" t="s">
        <v>39</v>
      </c>
      <c r="P151" s="5">
        <v>11.5</v>
      </c>
      <c r="Q151" s="4">
        <v>1280</v>
      </c>
      <c r="R151" s="4">
        <v>415</v>
      </c>
      <c r="T151" s="4" t="s">
        <v>105</v>
      </c>
    </row>
    <row r="152" spans="1:20">
      <c r="A152" s="4">
        <f t="shared" si="2"/>
        <v>151</v>
      </c>
      <c r="B152" s="4" t="s">
        <v>199</v>
      </c>
      <c r="C152" s="4" t="s">
        <v>28</v>
      </c>
      <c r="D152" s="4" t="s">
        <v>36</v>
      </c>
      <c r="E152" s="4" t="s">
        <v>30</v>
      </c>
      <c r="G152" s="28">
        <v>177000</v>
      </c>
      <c r="M152" s="4"/>
      <c r="N152" s="4"/>
      <c r="O152" s="4"/>
      <c r="P152" s="5">
        <v>3.2</v>
      </c>
      <c r="R152" s="4">
        <v>14.5</v>
      </c>
      <c r="T152" s="4" t="s">
        <v>90</v>
      </c>
    </row>
    <row r="153" spans="1:20">
      <c r="A153" s="4">
        <f t="shared" si="2"/>
        <v>152</v>
      </c>
      <c r="B153" s="4" t="s">
        <v>200</v>
      </c>
      <c r="C153" s="4" t="s">
        <v>35</v>
      </c>
      <c r="D153" s="4" t="s">
        <v>36</v>
      </c>
      <c r="E153" s="4" t="s">
        <v>30</v>
      </c>
      <c r="F153" s="5">
        <v>8</v>
      </c>
      <c r="G153" s="28">
        <v>2400000</v>
      </c>
      <c r="P153" s="5">
        <v>8</v>
      </c>
      <c r="Q153" s="4">
        <v>1000</v>
      </c>
      <c r="T153" s="4" t="s">
        <v>37</v>
      </c>
    </row>
    <row r="154" spans="1:20">
      <c r="A154" s="4">
        <f t="shared" si="2"/>
        <v>153</v>
      </c>
      <c r="B154" s="45" t="s">
        <v>201</v>
      </c>
      <c r="C154" s="4" t="s">
        <v>28</v>
      </c>
      <c r="D154" s="4" t="s">
        <v>29</v>
      </c>
      <c r="E154" s="4" t="s">
        <v>30</v>
      </c>
      <c r="F154" s="5">
        <v>14</v>
      </c>
      <c r="G154" s="28"/>
      <c r="H154" s="4">
        <v>0.03</v>
      </c>
      <c r="I154" s="4">
        <v>0.3</v>
      </c>
      <c r="J154" s="4">
        <v>39</v>
      </c>
      <c r="K154" s="4">
        <v>0.55</v>
      </c>
      <c r="L154" s="4">
        <v>40</v>
      </c>
      <c r="M154" s="4">
        <v>0.4</v>
      </c>
      <c r="N154" s="4">
        <v>0.4</v>
      </c>
      <c r="O154" s="4"/>
      <c r="P154" s="5">
        <v>14</v>
      </c>
      <c r="R154" s="4">
        <v>58.8</v>
      </c>
      <c r="T154" s="21" t="s">
        <v>32</v>
      </c>
    </row>
    <row r="155" spans="1:20">
      <c r="A155" s="4">
        <f t="shared" si="2"/>
        <v>154</v>
      </c>
      <c r="B155" s="45" t="s">
        <v>202</v>
      </c>
      <c r="C155" s="4" t="s">
        <v>28</v>
      </c>
      <c r="D155" s="4" t="s">
        <v>29</v>
      </c>
      <c r="E155" s="4" t="s">
        <v>30</v>
      </c>
      <c r="F155" s="5">
        <v>14.64</v>
      </c>
      <c r="G155" s="28">
        <v>7750000</v>
      </c>
      <c r="H155" s="4">
        <v>0.03</v>
      </c>
      <c r="I155" s="4">
        <v>0.35</v>
      </c>
      <c r="J155" s="4">
        <v>24</v>
      </c>
      <c r="K155" s="4">
        <v>0.55</v>
      </c>
      <c r="L155" s="4">
        <v>20</v>
      </c>
      <c r="M155" s="5">
        <v>2</v>
      </c>
      <c r="N155" s="5">
        <v>0.7</v>
      </c>
      <c r="P155" s="5">
        <v>14.6</v>
      </c>
      <c r="Q155" s="4">
        <v>2320</v>
      </c>
      <c r="R155" s="4">
        <v>130</v>
      </c>
      <c r="S155" s="4">
        <v>2</v>
      </c>
      <c r="T155" s="21" t="s">
        <v>32</v>
      </c>
    </row>
    <row r="156" spans="1:20">
      <c r="A156" s="4">
        <f t="shared" si="2"/>
        <v>155</v>
      </c>
      <c r="B156" s="36" t="s">
        <v>203</v>
      </c>
      <c r="C156" s="36" t="s">
        <v>28</v>
      </c>
      <c r="D156" s="39"/>
      <c r="E156" s="39" t="s">
        <v>30</v>
      </c>
      <c r="F156" s="46">
        <v>21</v>
      </c>
      <c r="G156" s="47">
        <v>3100000</v>
      </c>
      <c r="H156" s="39"/>
      <c r="I156" s="39"/>
      <c r="J156" s="39"/>
      <c r="K156" s="39"/>
      <c r="L156" s="39"/>
      <c r="M156" s="39"/>
      <c r="N156" s="39"/>
      <c r="O156" s="39"/>
      <c r="P156" s="46">
        <v>11</v>
      </c>
      <c r="Q156" s="39"/>
      <c r="R156" s="39"/>
      <c r="S156" s="39">
        <v>1</v>
      </c>
      <c r="T156" s="39"/>
    </row>
    <row r="157" spans="1:20">
      <c r="A157" s="4">
        <f t="shared" si="2"/>
        <v>156</v>
      </c>
      <c r="B157" s="36" t="s">
        <v>204</v>
      </c>
      <c r="C157" s="36" t="s">
        <v>28</v>
      </c>
      <c r="D157" s="39"/>
      <c r="E157" s="39" t="s">
        <v>30</v>
      </c>
      <c r="F157" s="46">
        <v>4.6</v>
      </c>
      <c r="G157" s="47"/>
      <c r="H157" s="39"/>
      <c r="I157" s="39"/>
      <c r="J157" s="39"/>
      <c r="K157" s="39"/>
      <c r="L157" s="39"/>
      <c r="M157" s="39"/>
      <c r="N157" s="39"/>
      <c r="O157" s="39"/>
      <c r="P157" s="46">
        <v>9</v>
      </c>
      <c r="Q157" s="39"/>
      <c r="R157" s="39">
        <v>47.2</v>
      </c>
      <c r="S157" s="39"/>
      <c r="T157" s="39"/>
    </row>
    <row r="158" spans="1:20">
      <c r="A158" s="4">
        <f t="shared" si="2"/>
        <v>157</v>
      </c>
      <c r="B158" s="45" t="s">
        <v>205</v>
      </c>
      <c r="C158" s="4" t="s">
        <v>28</v>
      </c>
      <c r="D158" s="4" t="s">
        <v>29</v>
      </c>
      <c r="E158" s="4" t="s">
        <v>30</v>
      </c>
      <c r="F158" s="5">
        <v>15.24</v>
      </c>
      <c r="G158" s="28">
        <v>865000</v>
      </c>
      <c r="H158" s="4">
        <v>0.03</v>
      </c>
      <c r="I158" s="4">
        <v>0.35</v>
      </c>
      <c r="J158" s="4">
        <v>20.5</v>
      </c>
      <c r="K158" s="4">
        <v>0.55</v>
      </c>
      <c r="L158" s="4">
        <v>20</v>
      </c>
      <c r="M158" s="5">
        <v>0.3</v>
      </c>
      <c r="N158" s="5">
        <v>0.5</v>
      </c>
      <c r="O158" s="5" t="s">
        <v>39</v>
      </c>
      <c r="P158" s="5">
        <v>17.1</v>
      </c>
      <c r="R158" s="4">
        <v>18.9</v>
      </c>
      <c r="S158" s="4">
        <v>1</v>
      </c>
      <c r="T158" s="21" t="s">
        <v>32</v>
      </c>
    </row>
    <row r="159" spans="1:20">
      <c r="A159" s="4">
        <f t="shared" si="2"/>
        <v>158</v>
      </c>
      <c r="B159" s="4" t="s">
        <v>206</v>
      </c>
      <c r="C159" s="4" t="s">
        <v>28</v>
      </c>
      <c r="D159" s="4" t="s">
        <v>29</v>
      </c>
      <c r="E159" s="4" t="s">
        <v>30</v>
      </c>
      <c r="F159" s="5">
        <v>7.6</v>
      </c>
      <c r="M159" s="4"/>
      <c r="N159" s="4"/>
      <c r="O159" s="4"/>
      <c r="P159" s="5">
        <v>7.92</v>
      </c>
      <c r="R159" s="4">
        <v>16.8</v>
      </c>
      <c r="T159" s="4" t="s">
        <v>52</v>
      </c>
    </row>
    <row r="160" spans="1:20">
      <c r="A160" s="4">
        <f t="shared" si="2"/>
        <v>159</v>
      </c>
      <c r="B160" s="29" t="s">
        <v>207</v>
      </c>
      <c r="C160" s="4" t="s">
        <v>28</v>
      </c>
      <c r="D160" s="4" t="s">
        <v>29</v>
      </c>
      <c r="E160" s="4" t="s">
        <v>30</v>
      </c>
      <c r="F160" s="5">
        <v>13</v>
      </c>
      <c r="G160" s="28">
        <v>4590000</v>
      </c>
      <c r="H160" s="4">
        <v>0.03</v>
      </c>
      <c r="I160" s="4">
        <v>0.35</v>
      </c>
      <c r="J160" s="4">
        <v>4</v>
      </c>
      <c r="K160" s="4">
        <v>0.45</v>
      </c>
      <c r="L160" s="4">
        <v>20</v>
      </c>
      <c r="O160" s="5" t="s">
        <v>39</v>
      </c>
      <c r="P160" s="5">
        <v>8.69</v>
      </c>
      <c r="Q160" s="4">
        <v>290</v>
      </c>
      <c r="R160" s="4">
        <v>39.2</v>
      </c>
      <c r="S160" s="4">
        <v>3</v>
      </c>
      <c r="T160" s="21" t="s">
        <v>32</v>
      </c>
    </row>
    <row r="161" spans="1:20">
      <c r="A161" s="4">
        <f t="shared" si="2"/>
        <v>160</v>
      </c>
      <c r="B161" s="4" t="s">
        <v>208</v>
      </c>
      <c r="C161" s="21" t="s">
        <v>28</v>
      </c>
      <c r="D161" s="4" t="s">
        <v>36</v>
      </c>
      <c r="E161" s="4" t="s">
        <v>30</v>
      </c>
      <c r="G161" s="28"/>
      <c r="M161" s="4"/>
      <c r="N161" s="4"/>
      <c r="O161" s="4"/>
      <c r="P161" s="5">
        <v>8.53</v>
      </c>
      <c r="R161" s="4">
        <v>47.2</v>
      </c>
      <c r="T161" s="4" t="s">
        <v>90</v>
      </c>
    </row>
    <row r="162" spans="1:20">
      <c r="A162" s="4">
        <f t="shared" si="2"/>
        <v>161</v>
      </c>
      <c r="B162" s="36" t="s">
        <v>209</v>
      </c>
      <c r="C162" s="36" t="s">
        <v>28</v>
      </c>
      <c r="D162" s="39"/>
      <c r="E162" s="39" t="s">
        <v>30</v>
      </c>
      <c r="F162" s="46">
        <v>25.9</v>
      </c>
      <c r="G162" s="47"/>
      <c r="H162" s="39"/>
      <c r="I162" s="39"/>
      <c r="J162" s="39"/>
      <c r="K162" s="39"/>
      <c r="L162" s="39"/>
      <c r="M162" s="39"/>
      <c r="N162" s="39"/>
      <c r="O162" s="39"/>
      <c r="P162" s="46"/>
      <c r="Q162" s="39"/>
      <c r="R162" s="39">
        <v>30.5</v>
      </c>
      <c r="S162" s="39"/>
      <c r="T162" s="39"/>
    </row>
    <row r="163" spans="1:20">
      <c r="A163" s="4">
        <f t="shared" si="2"/>
        <v>162</v>
      </c>
      <c r="B163" s="36" t="s">
        <v>210</v>
      </c>
      <c r="C163" s="36" t="s">
        <v>28</v>
      </c>
      <c r="D163" s="39"/>
      <c r="E163" s="58" t="s">
        <v>42</v>
      </c>
      <c r="F163" s="46">
        <v>15</v>
      </c>
      <c r="G163" s="47"/>
      <c r="H163" s="39"/>
      <c r="I163" s="39"/>
      <c r="J163" s="39"/>
      <c r="K163" s="39"/>
      <c r="L163" s="39"/>
      <c r="M163" s="39"/>
      <c r="N163" s="39"/>
      <c r="O163" s="39"/>
      <c r="P163" s="46">
        <v>4.3</v>
      </c>
      <c r="Q163" s="39"/>
      <c r="R163" s="39"/>
      <c r="S163" s="39"/>
      <c r="T163" s="39"/>
    </row>
    <row r="164" spans="1:20">
      <c r="A164" s="4">
        <f t="shared" si="2"/>
        <v>163</v>
      </c>
      <c r="B164" s="4" t="s">
        <v>211</v>
      </c>
      <c r="C164" s="4" t="s">
        <v>28</v>
      </c>
      <c r="D164" s="4" t="s">
        <v>29</v>
      </c>
      <c r="E164" s="4" t="s">
        <v>30</v>
      </c>
      <c r="F164" s="5">
        <v>16.5</v>
      </c>
      <c r="M164" s="4"/>
      <c r="N164" s="4"/>
      <c r="O164" s="4"/>
      <c r="P164" s="5">
        <v>14.3</v>
      </c>
      <c r="R164" s="4">
        <v>7.62</v>
      </c>
      <c r="T164" s="4" t="s">
        <v>52</v>
      </c>
    </row>
    <row r="165" spans="1:20">
      <c r="A165" s="4">
        <f t="shared" si="2"/>
        <v>164</v>
      </c>
      <c r="B165" s="4" t="s">
        <v>212</v>
      </c>
      <c r="C165" s="4" t="s">
        <v>28</v>
      </c>
      <c r="D165" s="4" t="s">
        <v>36</v>
      </c>
      <c r="E165" s="4" t="s">
        <v>30</v>
      </c>
      <c r="F165" s="5">
        <v>12.8</v>
      </c>
      <c r="G165" s="28">
        <v>385000</v>
      </c>
      <c r="P165" s="5">
        <v>13.7</v>
      </c>
      <c r="Q165" s="4">
        <v>1050</v>
      </c>
      <c r="R165" s="4">
        <v>35.1</v>
      </c>
      <c r="T165" s="4" t="s">
        <v>52</v>
      </c>
    </row>
    <row r="166" spans="1:20">
      <c r="A166" s="4">
        <f t="shared" si="2"/>
        <v>165</v>
      </c>
      <c r="B166" s="45" t="s">
        <v>213</v>
      </c>
      <c r="C166" s="4" t="s">
        <v>28</v>
      </c>
      <c r="D166" s="4" t="s">
        <v>29</v>
      </c>
      <c r="E166" s="4" t="s">
        <v>30</v>
      </c>
      <c r="F166" s="5">
        <v>7.9</v>
      </c>
      <c r="G166" s="28">
        <v>987000</v>
      </c>
      <c r="H166" s="4">
        <v>0.25</v>
      </c>
      <c r="I166" s="4">
        <v>0.3</v>
      </c>
      <c r="J166" s="4">
        <v>3</v>
      </c>
      <c r="K166" s="4">
        <v>0.65</v>
      </c>
      <c r="L166" s="4">
        <v>0</v>
      </c>
      <c r="M166" s="5">
        <v>0.7</v>
      </c>
      <c r="N166" s="5">
        <v>0.3</v>
      </c>
      <c r="P166" s="5">
        <v>7.62</v>
      </c>
      <c r="Q166" s="4">
        <v>510</v>
      </c>
      <c r="R166" s="4">
        <v>22.2</v>
      </c>
      <c r="T166" s="21" t="s">
        <v>32</v>
      </c>
    </row>
    <row r="167" spans="1:20">
      <c r="A167" s="4">
        <f t="shared" si="2"/>
        <v>166</v>
      </c>
      <c r="B167" s="4" t="s">
        <v>214</v>
      </c>
      <c r="C167" s="4" t="s">
        <v>35</v>
      </c>
      <c r="D167" s="4" t="s">
        <v>36</v>
      </c>
      <c r="E167" s="4" t="s">
        <v>30</v>
      </c>
      <c r="F167" s="5">
        <v>25</v>
      </c>
      <c r="G167" s="28">
        <v>1140000</v>
      </c>
      <c r="O167" s="5" t="s">
        <v>39</v>
      </c>
      <c r="P167" s="5">
        <v>25</v>
      </c>
      <c r="Q167" s="4">
        <v>2950</v>
      </c>
      <c r="T167" s="4" t="s">
        <v>40</v>
      </c>
    </row>
    <row r="168" spans="1:20">
      <c r="A168" s="4">
        <f t="shared" si="2"/>
        <v>167</v>
      </c>
      <c r="B168" s="4" t="s">
        <v>215</v>
      </c>
      <c r="C168" s="21" t="s">
        <v>28</v>
      </c>
      <c r="D168" s="4" t="s">
        <v>29</v>
      </c>
      <c r="E168" s="4" t="s">
        <v>30</v>
      </c>
      <c r="G168" s="28"/>
      <c r="M168" s="4"/>
      <c r="N168" s="4"/>
      <c r="O168" s="4"/>
      <c r="P168" s="5">
        <v>3.66</v>
      </c>
      <c r="Q168" s="4">
        <v>71</v>
      </c>
      <c r="R168" s="4">
        <v>10.8</v>
      </c>
      <c r="T168" s="4" t="s">
        <v>73</v>
      </c>
    </row>
    <row r="169" spans="1:20">
      <c r="A169" s="4">
        <f t="shared" si="2"/>
        <v>168</v>
      </c>
      <c r="B169" s="4" t="s">
        <v>216</v>
      </c>
      <c r="C169" s="4" t="s">
        <v>35</v>
      </c>
      <c r="D169" s="4" t="s">
        <v>36</v>
      </c>
      <c r="E169" s="4" t="s">
        <v>30</v>
      </c>
      <c r="F169" s="5">
        <v>5.9</v>
      </c>
      <c r="G169" s="28">
        <v>840000</v>
      </c>
      <c r="P169" s="5">
        <v>5.9</v>
      </c>
      <c r="Q169" s="4">
        <v>42</v>
      </c>
      <c r="T169" s="4" t="s">
        <v>37</v>
      </c>
    </row>
    <row r="170" spans="1:20">
      <c r="A170" s="4">
        <f t="shared" si="2"/>
        <v>169</v>
      </c>
      <c r="B170" s="45" t="s">
        <v>217</v>
      </c>
      <c r="C170" s="4" t="s">
        <v>28</v>
      </c>
      <c r="D170" s="4" t="s">
        <v>29</v>
      </c>
      <c r="E170" s="4" t="s">
        <v>30</v>
      </c>
      <c r="F170" s="5">
        <v>26.21</v>
      </c>
      <c r="G170" s="28">
        <v>1730000</v>
      </c>
      <c r="H170" s="4">
        <v>0.03</v>
      </c>
      <c r="I170" s="4">
        <v>0.3</v>
      </c>
      <c r="J170" s="4">
        <v>25</v>
      </c>
      <c r="K170" s="4">
        <v>0.5</v>
      </c>
      <c r="L170" s="4">
        <v>40</v>
      </c>
      <c r="M170" s="5">
        <v>0.4</v>
      </c>
      <c r="N170" s="5">
        <v>0.4</v>
      </c>
      <c r="O170" s="5" t="s">
        <v>31</v>
      </c>
      <c r="P170" s="5">
        <v>27.1</v>
      </c>
      <c r="Q170" s="4">
        <v>1330</v>
      </c>
      <c r="R170" s="4">
        <v>29.6</v>
      </c>
      <c r="S170" s="4">
        <v>0.33</v>
      </c>
      <c r="T170" s="21" t="s">
        <v>32</v>
      </c>
    </row>
    <row r="171" spans="1:20">
      <c r="A171" s="4">
        <f t="shared" si="2"/>
        <v>170</v>
      </c>
      <c r="B171" s="48" t="s">
        <v>218</v>
      </c>
      <c r="C171" s="48" t="s">
        <v>35</v>
      </c>
      <c r="D171" s="48" t="s">
        <v>36</v>
      </c>
      <c r="E171" s="48" t="s">
        <v>42</v>
      </c>
      <c r="F171" s="49">
        <v>35.9</v>
      </c>
      <c r="G171" s="50">
        <v>40500000</v>
      </c>
      <c r="H171" s="48">
        <v>0.118850289952383</v>
      </c>
      <c r="I171" s="48">
        <v>0.32</v>
      </c>
      <c r="J171" s="48">
        <v>14.3205370672265</v>
      </c>
      <c r="K171" s="48">
        <v>0.432055660624648</v>
      </c>
      <c r="L171" s="48">
        <v>19.0940494229686</v>
      </c>
      <c r="M171" s="49">
        <v>0.333</v>
      </c>
      <c r="N171" s="49">
        <v>0.333</v>
      </c>
      <c r="O171" s="49" t="s">
        <v>39</v>
      </c>
      <c r="P171" s="49">
        <v>35.9</v>
      </c>
      <c r="Q171" s="48">
        <v>28000</v>
      </c>
      <c r="R171" s="48"/>
      <c r="S171" s="48"/>
      <c r="T171" s="48" t="s">
        <v>46</v>
      </c>
    </row>
    <row r="172" spans="1:20">
      <c r="A172" s="4">
        <f t="shared" si="2"/>
        <v>171</v>
      </c>
      <c r="B172" s="4" t="s">
        <v>219</v>
      </c>
      <c r="C172" s="4" t="s">
        <v>35</v>
      </c>
      <c r="D172" s="4" t="s">
        <v>36</v>
      </c>
      <c r="E172" s="4" t="s">
        <v>30</v>
      </c>
      <c r="F172" s="5">
        <v>8</v>
      </c>
      <c r="G172" s="28">
        <v>190000</v>
      </c>
      <c r="P172" s="5">
        <v>8</v>
      </c>
      <c r="Q172" s="4">
        <v>75</v>
      </c>
      <c r="T172" s="4" t="s">
        <v>37</v>
      </c>
    </row>
    <row r="173" spans="1:20">
      <c r="A173" s="4">
        <f t="shared" si="2"/>
        <v>172</v>
      </c>
      <c r="B173" s="4" t="s">
        <v>220</v>
      </c>
      <c r="C173" s="4" t="s">
        <v>28</v>
      </c>
      <c r="D173" s="4" t="s">
        <v>29</v>
      </c>
      <c r="E173" s="4" t="s">
        <v>30</v>
      </c>
      <c r="G173" s="28"/>
      <c r="M173" s="4"/>
      <c r="N173" s="4"/>
      <c r="O173" s="4"/>
      <c r="P173" s="5">
        <v>3.66</v>
      </c>
      <c r="R173" s="4">
        <v>9.14</v>
      </c>
      <c r="T173" s="4" t="s">
        <v>90</v>
      </c>
    </row>
    <row r="174" spans="1:20">
      <c r="A174" s="4">
        <f t="shared" si="2"/>
        <v>173</v>
      </c>
      <c r="B174" s="4" t="s">
        <v>221</v>
      </c>
      <c r="C174" s="4" t="s">
        <v>35</v>
      </c>
      <c r="D174" s="4" t="s">
        <v>36</v>
      </c>
      <c r="E174" s="4" t="s">
        <v>42</v>
      </c>
      <c r="F174" s="5">
        <v>9.5</v>
      </c>
      <c r="G174" s="28">
        <v>30000000</v>
      </c>
      <c r="O174" s="5" t="s">
        <v>31</v>
      </c>
      <c r="P174" s="5">
        <v>9.5</v>
      </c>
      <c r="T174" s="4" t="s">
        <v>40</v>
      </c>
    </row>
    <row r="175" spans="1:20">
      <c r="A175" s="4">
        <f t="shared" si="2"/>
        <v>174</v>
      </c>
      <c r="B175" s="45" t="s">
        <v>222</v>
      </c>
      <c r="C175" s="21" t="s">
        <v>28</v>
      </c>
      <c r="D175" s="4" t="s">
        <v>29</v>
      </c>
      <c r="E175" s="4" t="s">
        <v>30</v>
      </c>
      <c r="F175" s="5">
        <v>8.2</v>
      </c>
      <c r="G175" s="28">
        <v>7080000</v>
      </c>
      <c r="H175" s="4">
        <v>0.03</v>
      </c>
      <c r="I175" s="4">
        <v>0.35</v>
      </c>
      <c r="J175" s="4">
        <v>15</v>
      </c>
      <c r="K175" s="4">
        <v>0.5</v>
      </c>
      <c r="L175" s="4">
        <v>20</v>
      </c>
      <c r="M175" s="5">
        <v>0.3</v>
      </c>
      <c r="N175" s="5">
        <v>0.3</v>
      </c>
      <c r="P175" s="5">
        <v>7.01</v>
      </c>
      <c r="Q175" s="4">
        <v>340</v>
      </c>
      <c r="R175" s="4">
        <v>79.2</v>
      </c>
      <c r="S175" s="4">
        <v>1.5</v>
      </c>
      <c r="T175" s="21" t="s">
        <v>32</v>
      </c>
    </row>
    <row r="176" spans="1:20">
      <c r="A176" s="4">
        <f t="shared" si="2"/>
        <v>175</v>
      </c>
      <c r="B176" s="4" t="s">
        <v>223</v>
      </c>
      <c r="C176" s="4" t="s">
        <v>28</v>
      </c>
      <c r="D176" s="4" t="s">
        <v>36</v>
      </c>
      <c r="E176" s="4" t="s">
        <v>42</v>
      </c>
      <c r="F176" s="5">
        <v>41.15</v>
      </c>
      <c r="G176" s="28">
        <v>49300000</v>
      </c>
      <c r="O176" s="5" t="s">
        <v>39</v>
      </c>
      <c r="P176" s="5">
        <v>39.6</v>
      </c>
      <c r="Q176" s="4">
        <v>15800</v>
      </c>
      <c r="R176" s="4">
        <v>133</v>
      </c>
      <c r="S176" s="4">
        <v>1</v>
      </c>
      <c r="T176" s="4" t="s">
        <v>133</v>
      </c>
    </row>
    <row r="177" spans="1:20">
      <c r="A177" s="4">
        <f t="shared" si="2"/>
        <v>176</v>
      </c>
      <c r="B177" s="45" t="s">
        <v>224</v>
      </c>
      <c r="C177" s="4" t="s">
        <v>28</v>
      </c>
      <c r="D177" s="4" t="s">
        <v>36</v>
      </c>
      <c r="E177" s="4" t="s">
        <v>30</v>
      </c>
      <c r="F177" s="5">
        <v>11.28</v>
      </c>
      <c r="G177" s="28">
        <v>19600000</v>
      </c>
      <c r="H177" s="4">
        <v>0.03</v>
      </c>
      <c r="I177" s="4">
        <v>0.35</v>
      </c>
      <c r="J177" s="4">
        <v>3.5</v>
      </c>
      <c r="K177" s="4">
        <v>0.4</v>
      </c>
      <c r="L177" s="4">
        <v>20</v>
      </c>
      <c r="M177" s="5">
        <v>0.4</v>
      </c>
      <c r="N177" s="5">
        <v>0.4</v>
      </c>
      <c r="O177" s="5" t="s">
        <v>31</v>
      </c>
      <c r="P177" s="5">
        <v>11.3</v>
      </c>
      <c r="Q177" s="4">
        <v>1800</v>
      </c>
      <c r="R177" s="4">
        <v>67</v>
      </c>
      <c r="T177" s="21" t="s">
        <v>32</v>
      </c>
    </row>
    <row r="178" spans="1:20">
      <c r="A178" s="4">
        <f t="shared" si="2"/>
        <v>177</v>
      </c>
      <c r="B178" s="4" t="s">
        <v>225</v>
      </c>
      <c r="C178" s="4" t="s">
        <v>28</v>
      </c>
      <c r="D178" s="4" t="s">
        <v>29</v>
      </c>
      <c r="E178" s="43" t="s">
        <v>42</v>
      </c>
      <c r="F178" s="5">
        <v>19.81</v>
      </c>
      <c r="G178" s="28">
        <v>49500000</v>
      </c>
      <c r="O178" s="5" t="s">
        <v>31</v>
      </c>
      <c r="P178" s="5">
        <v>19.8</v>
      </c>
      <c r="R178" s="4">
        <v>97</v>
      </c>
      <c r="T178" s="4" t="s">
        <v>40</v>
      </c>
    </row>
    <row r="179" spans="1:20">
      <c r="A179" s="4">
        <f t="shared" si="2"/>
        <v>178</v>
      </c>
      <c r="B179" s="4" t="s">
        <v>226</v>
      </c>
      <c r="C179" s="4" t="s">
        <v>28</v>
      </c>
      <c r="D179" s="4" t="s">
        <v>29</v>
      </c>
      <c r="E179" s="4" t="s">
        <v>42</v>
      </c>
      <c r="F179" s="5">
        <v>12.5</v>
      </c>
      <c r="G179" s="28">
        <v>2520000</v>
      </c>
      <c r="O179" s="5" t="s">
        <v>39</v>
      </c>
      <c r="P179" s="5">
        <v>12.5</v>
      </c>
      <c r="R179" s="4">
        <v>30.5</v>
      </c>
      <c r="S179" s="4">
        <v>3</v>
      </c>
      <c r="T179" s="4" t="s">
        <v>40</v>
      </c>
    </row>
    <row r="180" spans="1:20">
      <c r="A180" s="4">
        <f t="shared" si="2"/>
        <v>179</v>
      </c>
      <c r="B180" s="4" t="s">
        <v>227</v>
      </c>
      <c r="C180" s="4" t="s">
        <v>104</v>
      </c>
      <c r="D180" s="4" t="s">
        <v>36</v>
      </c>
      <c r="E180" s="4" t="s">
        <v>42</v>
      </c>
      <c r="F180" s="5">
        <v>22.56</v>
      </c>
      <c r="G180" s="28">
        <v>110000000</v>
      </c>
      <c r="P180" s="5">
        <v>22.56</v>
      </c>
      <c r="Q180" s="4">
        <v>16307</v>
      </c>
      <c r="R180" s="4">
        <v>2000</v>
      </c>
      <c r="S180" s="4">
        <v>2</v>
      </c>
      <c r="T180" s="4" t="s">
        <v>105</v>
      </c>
    </row>
    <row r="181" spans="1:20">
      <c r="A181" s="4">
        <f t="shared" si="2"/>
        <v>180</v>
      </c>
      <c r="B181" s="4" t="s">
        <v>228</v>
      </c>
      <c r="C181" s="4" t="s">
        <v>35</v>
      </c>
      <c r="D181" s="4" t="s">
        <v>36</v>
      </c>
      <c r="E181" s="4" t="s">
        <v>30</v>
      </c>
      <c r="F181" s="5">
        <v>19.5</v>
      </c>
      <c r="G181" s="28">
        <v>23400000</v>
      </c>
      <c r="O181" s="5" t="s">
        <v>31</v>
      </c>
      <c r="P181" s="5">
        <v>19.5</v>
      </c>
      <c r="Q181" s="4">
        <v>4950</v>
      </c>
      <c r="T181" s="4" t="s">
        <v>40</v>
      </c>
    </row>
    <row r="182" spans="1:20">
      <c r="A182" s="4">
        <f t="shared" si="2"/>
        <v>181</v>
      </c>
      <c r="B182" s="4" t="s">
        <v>229</v>
      </c>
      <c r="C182" s="4" t="s">
        <v>35</v>
      </c>
      <c r="D182" s="4" t="s">
        <v>36</v>
      </c>
      <c r="E182" s="4" t="s">
        <v>30</v>
      </c>
      <c r="F182" s="5">
        <v>22</v>
      </c>
      <c r="G182" s="28">
        <v>380000</v>
      </c>
      <c r="P182" s="5">
        <v>22</v>
      </c>
      <c r="Q182" s="4">
        <v>1140</v>
      </c>
      <c r="T182" s="4" t="s">
        <v>37</v>
      </c>
    </row>
    <row r="183" spans="1:20">
      <c r="A183" s="4">
        <f t="shared" si="2"/>
        <v>182</v>
      </c>
      <c r="B183" s="4" t="s">
        <v>230</v>
      </c>
      <c r="C183" s="4" t="s">
        <v>28</v>
      </c>
      <c r="D183" s="4" t="s">
        <v>36</v>
      </c>
      <c r="E183" s="4" t="s">
        <v>42</v>
      </c>
      <c r="F183" s="5">
        <v>21.3</v>
      </c>
      <c r="G183" s="28">
        <v>13600000</v>
      </c>
      <c r="O183" s="5" t="s">
        <v>39</v>
      </c>
      <c r="P183" s="5">
        <v>21.3</v>
      </c>
      <c r="Q183" s="4">
        <v>2520</v>
      </c>
      <c r="R183" s="4">
        <v>9.2</v>
      </c>
      <c r="S183" s="4">
        <v>3</v>
      </c>
      <c r="T183" s="4" t="s">
        <v>40</v>
      </c>
    </row>
    <row r="184" spans="1:20">
      <c r="A184" s="4">
        <f t="shared" si="2"/>
        <v>183</v>
      </c>
      <c r="B184" s="4" t="s">
        <v>231</v>
      </c>
      <c r="C184" s="4" t="s">
        <v>28</v>
      </c>
      <c r="D184" s="4" t="s">
        <v>29</v>
      </c>
      <c r="E184" s="1"/>
      <c r="F184" s="5">
        <v>10.4</v>
      </c>
      <c r="G184" s="28">
        <v>136000000</v>
      </c>
      <c r="M184" s="4"/>
      <c r="N184" s="4"/>
      <c r="O184" s="4" t="s">
        <v>31</v>
      </c>
      <c r="P184" s="5">
        <v>12.8</v>
      </c>
      <c r="Q184" s="4">
        <v>3115</v>
      </c>
      <c r="R184" s="4">
        <v>186</v>
      </c>
      <c r="T184" s="4" t="s">
        <v>40</v>
      </c>
    </row>
    <row r="185" spans="1:20">
      <c r="A185" s="4">
        <f t="shared" si="2"/>
        <v>184</v>
      </c>
      <c r="B185" s="4" t="s">
        <v>232</v>
      </c>
      <c r="C185" s="4" t="s">
        <v>28</v>
      </c>
      <c r="D185" s="4" t="s">
        <v>29</v>
      </c>
      <c r="E185" s="4" t="s">
        <v>30</v>
      </c>
      <c r="F185" s="5">
        <v>10.97</v>
      </c>
      <c r="M185" s="4"/>
      <c r="N185" s="4"/>
      <c r="O185" s="4"/>
      <c r="P185" s="5">
        <v>9.75</v>
      </c>
      <c r="R185" s="4">
        <v>32.8</v>
      </c>
      <c r="T185" s="4" t="s">
        <v>52</v>
      </c>
    </row>
    <row r="186" spans="1:20">
      <c r="A186" s="4">
        <f t="shared" si="2"/>
        <v>185</v>
      </c>
      <c r="B186" s="36" t="s">
        <v>233</v>
      </c>
      <c r="C186" s="36" t="s">
        <v>28</v>
      </c>
      <c r="D186" s="39"/>
      <c r="E186" s="39" t="s">
        <v>30</v>
      </c>
      <c r="F186" s="46">
        <v>16.2</v>
      </c>
      <c r="G186" s="39"/>
      <c r="H186" s="39"/>
      <c r="I186" s="39"/>
      <c r="J186" s="39"/>
      <c r="K186" s="39"/>
      <c r="L186" s="39"/>
      <c r="M186" s="39"/>
      <c r="N186" s="39"/>
      <c r="O186" s="39"/>
      <c r="P186" s="46">
        <v>16.2</v>
      </c>
      <c r="Q186" s="39"/>
      <c r="R186" s="39"/>
      <c r="S186" s="39"/>
      <c r="T186" s="39"/>
    </row>
    <row r="187" spans="1:20">
      <c r="A187" s="4">
        <f t="shared" si="2"/>
        <v>186</v>
      </c>
      <c r="B187" s="36" t="s">
        <v>234</v>
      </c>
      <c r="C187" s="36" t="s">
        <v>28</v>
      </c>
      <c r="D187" s="39"/>
      <c r="E187" s="39" t="s">
        <v>30</v>
      </c>
      <c r="F187" s="46">
        <v>11.6</v>
      </c>
      <c r="G187" s="39"/>
      <c r="H187" s="39"/>
      <c r="I187" s="39"/>
      <c r="J187" s="39"/>
      <c r="K187" s="39"/>
      <c r="L187" s="39"/>
      <c r="M187" s="39"/>
      <c r="N187" s="39"/>
      <c r="O187" s="39"/>
      <c r="P187" s="46">
        <v>11.6</v>
      </c>
      <c r="Q187" s="39"/>
      <c r="R187" s="39"/>
      <c r="S187" s="39"/>
      <c r="T187" s="39"/>
    </row>
    <row r="188" spans="1:20">
      <c r="A188" s="4">
        <f t="shared" si="2"/>
        <v>187</v>
      </c>
      <c r="B188" s="4" t="s">
        <v>235</v>
      </c>
      <c r="C188" s="21" t="s">
        <v>28</v>
      </c>
      <c r="D188" s="4" t="s">
        <v>36</v>
      </c>
      <c r="E188" s="4" t="s">
        <v>30</v>
      </c>
      <c r="G188" s="28">
        <v>70000</v>
      </c>
      <c r="M188" s="4"/>
      <c r="N188" s="4"/>
      <c r="O188" s="4"/>
      <c r="P188" s="5">
        <v>3.05</v>
      </c>
      <c r="R188" s="4">
        <v>14.2</v>
      </c>
      <c r="T188" s="4" t="s">
        <v>90</v>
      </c>
    </row>
    <row r="189" spans="1:20">
      <c r="A189" s="4">
        <f t="shared" si="2"/>
        <v>188</v>
      </c>
      <c r="B189" s="4" t="s">
        <v>236</v>
      </c>
      <c r="C189" s="4" t="s">
        <v>62</v>
      </c>
      <c r="D189" s="4" t="s">
        <v>36</v>
      </c>
      <c r="E189" s="4" t="s">
        <v>30</v>
      </c>
      <c r="F189" s="5">
        <v>2.5</v>
      </c>
      <c r="G189" s="28">
        <v>750000</v>
      </c>
      <c r="P189" s="5">
        <v>2.5</v>
      </c>
      <c r="Q189" s="4">
        <v>210</v>
      </c>
      <c r="R189" s="4">
        <v>30</v>
      </c>
      <c r="T189" s="4" t="s">
        <v>63</v>
      </c>
    </row>
    <row r="190" spans="1:20">
      <c r="A190" s="4">
        <f t="shared" si="2"/>
        <v>189</v>
      </c>
      <c r="B190" s="4" t="s">
        <v>237</v>
      </c>
      <c r="C190" s="4" t="s">
        <v>28</v>
      </c>
      <c r="D190" s="4" t="s">
        <v>29</v>
      </c>
      <c r="E190" s="4" t="s">
        <v>30</v>
      </c>
      <c r="F190" s="5">
        <v>13.1</v>
      </c>
      <c r="G190" s="28">
        <v>2500000</v>
      </c>
      <c r="P190" s="5">
        <v>13.1</v>
      </c>
      <c r="Q190" s="4">
        <v>1645</v>
      </c>
      <c r="T190" s="4" t="s">
        <v>238</v>
      </c>
    </row>
    <row r="191" spans="1:20">
      <c r="A191" s="4">
        <f t="shared" si="2"/>
        <v>190</v>
      </c>
      <c r="B191" s="36" t="s">
        <v>239</v>
      </c>
      <c r="C191" s="36" t="s">
        <v>28</v>
      </c>
      <c r="D191" s="39"/>
      <c r="E191" s="58" t="s">
        <v>42</v>
      </c>
      <c r="F191" s="46">
        <v>14.3</v>
      </c>
      <c r="G191" s="47">
        <v>620000</v>
      </c>
      <c r="H191" s="39"/>
      <c r="I191" s="39"/>
      <c r="J191" s="39"/>
      <c r="K191" s="39"/>
      <c r="L191" s="39"/>
      <c r="M191" s="39"/>
      <c r="N191" s="39"/>
      <c r="O191" s="39"/>
      <c r="P191" s="46">
        <v>6.1</v>
      </c>
      <c r="Q191" s="39"/>
      <c r="R191" s="39">
        <v>30.5</v>
      </c>
      <c r="S191" s="39"/>
      <c r="T191" s="39"/>
    </row>
    <row r="192" spans="1:20">
      <c r="A192" s="4">
        <f t="shared" si="2"/>
        <v>191</v>
      </c>
      <c r="B192" s="36" t="s">
        <v>240</v>
      </c>
      <c r="C192" s="36" t="s">
        <v>28</v>
      </c>
      <c r="D192" s="39"/>
      <c r="E192" s="39" t="s">
        <v>30</v>
      </c>
      <c r="F192" s="46">
        <v>2.1</v>
      </c>
      <c r="G192" s="47"/>
      <c r="H192" s="39"/>
      <c r="I192" s="39"/>
      <c r="J192" s="39"/>
      <c r="K192" s="39"/>
      <c r="L192" s="39"/>
      <c r="M192" s="39"/>
      <c r="N192" s="39"/>
      <c r="O192" s="39"/>
      <c r="P192" s="46"/>
      <c r="Q192" s="39"/>
      <c r="R192" s="39">
        <v>4.6</v>
      </c>
      <c r="S192" s="39"/>
      <c r="T192" s="39"/>
    </row>
    <row r="193" spans="1:20">
      <c r="A193" s="4">
        <f t="shared" si="2"/>
        <v>192</v>
      </c>
      <c r="B193" s="4" t="s">
        <v>241</v>
      </c>
      <c r="C193" s="21" t="s">
        <v>28</v>
      </c>
      <c r="D193" s="4" t="s">
        <v>36</v>
      </c>
      <c r="E193" s="4" t="s">
        <v>30</v>
      </c>
      <c r="F193" s="5">
        <v>2.8</v>
      </c>
      <c r="G193" s="28">
        <v>4130000</v>
      </c>
      <c r="P193" s="5">
        <v>3.44</v>
      </c>
      <c r="R193" s="4">
        <v>41.5</v>
      </c>
      <c r="T193" s="4" t="s">
        <v>90</v>
      </c>
    </row>
    <row r="194" spans="1:20">
      <c r="A194" s="4">
        <f t="shared" si="2"/>
        <v>193</v>
      </c>
      <c r="B194" s="36" t="s">
        <v>242</v>
      </c>
      <c r="C194" s="36" t="s">
        <v>28</v>
      </c>
      <c r="D194" s="39"/>
      <c r="E194" s="39" t="s">
        <v>30</v>
      </c>
      <c r="F194" s="46">
        <v>2.1</v>
      </c>
      <c r="G194" s="47"/>
      <c r="H194" s="39"/>
      <c r="I194" s="39"/>
      <c r="J194" s="39"/>
      <c r="K194" s="39"/>
      <c r="L194" s="39"/>
      <c r="M194" s="39"/>
      <c r="N194" s="39"/>
      <c r="O194" s="39"/>
      <c r="P194" s="46">
        <v>1.5</v>
      </c>
      <c r="Q194" s="39"/>
      <c r="R194" s="39">
        <v>5.3</v>
      </c>
      <c r="S194" s="39"/>
      <c r="T194" s="39"/>
    </row>
    <row r="195" spans="1:20">
      <c r="A195" s="4">
        <f t="shared" si="2"/>
        <v>194</v>
      </c>
      <c r="B195" s="4" t="s">
        <v>243</v>
      </c>
      <c r="C195" s="21" t="s">
        <v>28</v>
      </c>
      <c r="D195" s="4" t="s">
        <v>36</v>
      </c>
      <c r="E195" s="4" t="s">
        <v>30</v>
      </c>
      <c r="F195" s="5">
        <v>5.49</v>
      </c>
      <c r="G195" s="28"/>
      <c r="M195" s="4"/>
      <c r="N195" s="4"/>
      <c r="O195" s="4"/>
      <c r="P195" s="5">
        <v>5.03</v>
      </c>
      <c r="R195" s="4">
        <v>6.71</v>
      </c>
    </row>
    <row r="196" spans="1:20">
      <c r="A196" s="4">
        <f t="shared" si="2"/>
        <v>195</v>
      </c>
      <c r="B196" s="4" t="s">
        <v>244</v>
      </c>
      <c r="C196" s="4" t="s">
        <v>104</v>
      </c>
      <c r="D196" s="59" t="s">
        <v>36</v>
      </c>
      <c r="E196" s="4" t="s">
        <v>30</v>
      </c>
      <c r="F196" s="5">
        <v>16.5</v>
      </c>
      <c r="G196" s="28">
        <v>209800000</v>
      </c>
      <c r="M196" s="4"/>
      <c r="N196" s="4"/>
      <c r="O196" s="4"/>
      <c r="P196" s="5">
        <v>16.8</v>
      </c>
      <c r="Q196" s="4">
        <v>9711</v>
      </c>
      <c r="R196" s="4">
        <v>150</v>
      </c>
      <c r="T196" s="4" t="s">
        <v>105</v>
      </c>
    </row>
    <row r="197" spans="1:20">
      <c r="A197" s="4">
        <f t="shared" si="2"/>
        <v>196</v>
      </c>
      <c r="B197" s="4" t="s">
        <v>245</v>
      </c>
      <c r="C197" s="4" t="s">
        <v>104</v>
      </c>
      <c r="D197" s="4" t="s">
        <v>36</v>
      </c>
      <c r="E197" s="4" t="s">
        <v>42</v>
      </c>
      <c r="F197" s="5">
        <v>18.64</v>
      </c>
      <c r="G197" s="28">
        <v>2060000</v>
      </c>
      <c r="M197" s="4"/>
      <c r="N197" s="4"/>
      <c r="O197" s="4"/>
      <c r="P197" s="5">
        <v>18.64</v>
      </c>
      <c r="Q197" s="4">
        <v>4100</v>
      </c>
      <c r="R197" s="4">
        <v>90</v>
      </c>
      <c r="S197" s="4">
        <v>0.33</v>
      </c>
      <c r="T197" s="4" t="s">
        <v>105</v>
      </c>
    </row>
    <row r="198" spans="1:20">
      <c r="A198" s="4">
        <f t="shared" si="2"/>
        <v>197</v>
      </c>
      <c r="B198" s="4" t="s">
        <v>246</v>
      </c>
      <c r="C198" s="4" t="s">
        <v>35</v>
      </c>
      <c r="D198" s="4" t="s">
        <v>36</v>
      </c>
      <c r="E198" s="4" t="s">
        <v>42</v>
      </c>
      <c r="F198" s="5">
        <v>20</v>
      </c>
      <c r="G198" s="28">
        <v>190000</v>
      </c>
      <c r="P198" s="5">
        <v>20</v>
      </c>
      <c r="Q198" s="4">
        <v>80</v>
      </c>
      <c r="T198" s="4" t="s">
        <v>197</v>
      </c>
    </row>
    <row r="199" spans="1:20">
      <c r="A199" s="4">
        <f t="shared" si="2"/>
        <v>198</v>
      </c>
      <c r="B199" s="4" t="s">
        <v>247</v>
      </c>
      <c r="C199" s="4" t="s">
        <v>28</v>
      </c>
      <c r="D199" s="4" t="s">
        <v>36</v>
      </c>
      <c r="E199" s="4" t="s">
        <v>30</v>
      </c>
      <c r="F199" s="5">
        <v>13.7</v>
      </c>
      <c r="G199" s="28"/>
      <c r="M199" s="4"/>
      <c r="N199" s="4"/>
      <c r="O199" s="4"/>
      <c r="P199" s="5">
        <v>10.7</v>
      </c>
    </row>
    <row r="200" s="2" customFormat="1" spans="1:20">
      <c r="A200" s="1">
        <f t="shared" ref="A200:A261" si="3">ROW()-1</f>
        <v>199</v>
      </c>
      <c r="B200" s="1" t="s">
        <v>248</v>
      </c>
      <c r="C200" s="1" t="s">
        <v>35</v>
      </c>
      <c r="D200" s="1" t="s">
        <v>36</v>
      </c>
      <c r="E200" s="1" t="s">
        <v>30</v>
      </c>
      <c r="F200" s="19">
        <v>9.7</v>
      </c>
      <c r="G200" s="60">
        <v>100000</v>
      </c>
      <c r="H200" s="1">
        <v>0.008</v>
      </c>
      <c r="I200" s="1">
        <v>0.4</v>
      </c>
      <c r="J200" s="1">
        <v>7.5</v>
      </c>
      <c r="K200" s="1">
        <v>0.53</v>
      </c>
      <c r="L200" s="1">
        <v>11.5</v>
      </c>
      <c r="M200" s="1">
        <v>0.5</v>
      </c>
      <c r="N200" s="1">
        <v>0.4</v>
      </c>
      <c r="O200" s="1"/>
      <c r="P200" s="19"/>
      <c r="Q200" s="1">
        <v>42.3</v>
      </c>
      <c r="R200" s="1">
        <v>10.4</v>
      </c>
      <c r="S200" s="1">
        <v>0.2</v>
      </c>
      <c r="T200" s="1"/>
    </row>
    <row r="201" spans="1:20">
      <c r="A201" s="4">
        <f t="shared" si="3"/>
        <v>200</v>
      </c>
      <c r="B201" s="4" t="s">
        <v>249</v>
      </c>
      <c r="C201" s="4" t="s">
        <v>35</v>
      </c>
      <c r="D201" s="4" t="s">
        <v>36</v>
      </c>
      <c r="E201" s="4" t="s">
        <v>30</v>
      </c>
      <c r="F201" s="5">
        <v>12</v>
      </c>
      <c r="G201" s="28">
        <v>130000</v>
      </c>
      <c r="P201" s="5">
        <v>12</v>
      </c>
      <c r="Q201" s="4">
        <v>609</v>
      </c>
      <c r="T201" s="4" t="s">
        <v>37</v>
      </c>
    </row>
    <row r="202" spans="1:20">
      <c r="A202" s="4">
        <f t="shared" si="3"/>
        <v>201</v>
      </c>
      <c r="B202" s="4" t="s">
        <v>250</v>
      </c>
      <c r="C202" s="4" t="s">
        <v>35</v>
      </c>
      <c r="D202" s="4" t="s">
        <v>29</v>
      </c>
      <c r="E202" s="4" t="s">
        <v>42</v>
      </c>
      <c r="F202" s="5">
        <v>10</v>
      </c>
      <c r="G202" s="28">
        <v>160000</v>
      </c>
      <c r="O202" s="5" t="s">
        <v>102</v>
      </c>
      <c r="P202" s="5">
        <v>7.2</v>
      </c>
      <c r="R202" s="4">
        <v>13</v>
      </c>
      <c r="S202" s="4">
        <v>3</v>
      </c>
      <c r="T202" s="4" t="s">
        <v>40</v>
      </c>
    </row>
    <row r="203" spans="1:20">
      <c r="A203" s="4">
        <f t="shared" si="3"/>
        <v>202</v>
      </c>
      <c r="B203" s="4" t="s">
        <v>251</v>
      </c>
      <c r="C203" s="4" t="s">
        <v>28</v>
      </c>
      <c r="D203" s="4" t="s">
        <v>36</v>
      </c>
      <c r="E203" s="4" t="s">
        <v>30</v>
      </c>
      <c r="F203" s="5">
        <v>18.5</v>
      </c>
      <c r="G203" s="28">
        <v>700000</v>
      </c>
      <c r="S203" s="4">
        <v>0.38</v>
      </c>
      <c r="T203" s="4" t="s">
        <v>90</v>
      </c>
    </row>
    <row r="204" spans="1:20">
      <c r="A204" s="4">
        <f t="shared" si="3"/>
        <v>203</v>
      </c>
      <c r="B204" s="4" t="s">
        <v>252</v>
      </c>
      <c r="C204" s="4" t="s">
        <v>28</v>
      </c>
      <c r="D204" s="4" t="s">
        <v>36</v>
      </c>
      <c r="E204" s="4" t="s">
        <v>30</v>
      </c>
      <c r="F204" s="5">
        <v>5.5</v>
      </c>
      <c r="G204" s="28">
        <v>22000</v>
      </c>
      <c r="P204" s="5">
        <v>5.5</v>
      </c>
      <c r="Q204" s="4">
        <v>29.4</v>
      </c>
      <c r="T204" s="4" t="s">
        <v>40</v>
      </c>
    </row>
    <row r="205" spans="1:20">
      <c r="A205" s="4">
        <f t="shared" si="3"/>
        <v>204</v>
      </c>
      <c r="B205" s="36" t="s">
        <v>253</v>
      </c>
      <c r="C205" s="36" t="s">
        <v>28</v>
      </c>
      <c r="D205" s="39"/>
      <c r="E205" s="39" t="s">
        <v>42</v>
      </c>
      <c r="F205" s="46">
        <v>6.1</v>
      </c>
      <c r="G205" s="47"/>
      <c r="H205" s="39"/>
      <c r="I205" s="39"/>
      <c r="J205" s="39"/>
      <c r="K205" s="39"/>
      <c r="L205" s="39"/>
      <c r="M205" s="39"/>
      <c r="N205" s="39"/>
      <c r="O205" s="39"/>
      <c r="P205" s="46">
        <v>4.6</v>
      </c>
      <c r="Q205" s="39"/>
      <c r="R205" s="39"/>
      <c r="S205" s="39"/>
      <c r="T205" s="39"/>
    </row>
    <row r="206" spans="1:20">
      <c r="A206" s="4">
        <f t="shared" si="3"/>
        <v>205</v>
      </c>
      <c r="B206" s="48" t="s">
        <v>254</v>
      </c>
      <c r="C206" s="48" t="s">
        <v>125</v>
      </c>
      <c r="D206" s="48" t="s">
        <v>36</v>
      </c>
      <c r="E206" s="48" t="s">
        <v>42</v>
      </c>
      <c r="F206" s="49">
        <v>35.36</v>
      </c>
      <c r="G206" s="50">
        <v>650000000</v>
      </c>
      <c r="H206" s="48">
        <v>1.4674766863566</v>
      </c>
      <c r="I206" s="48">
        <v>0.32</v>
      </c>
      <c r="J206" s="48">
        <v>18.4956350096122</v>
      </c>
      <c r="K206" s="48">
        <v>0.697366118852715</v>
      </c>
      <c r="L206" s="48">
        <v>4.48923179844955</v>
      </c>
      <c r="M206" s="49">
        <v>0.276</v>
      </c>
      <c r="N206" s="49">
        <v>0.24</v>
      </c>
      <c r="O206" s="49" t="s">
        <v>102</v>
      </c>
      <c r="P206" s="49">
        <v>35.5</v>
      </c>
      <c r="Q206" s="48">
        <v>58000</v>
      </c>
      <c r="R206" s="48">
        <v>165</v>
      </c>
      <c r="S206" s="48">
        <v>8.5</v>
      </c>
      <c r="T206" s="48" t="s">
        <v>46</v>
      </c>
    </row>
    <row r="207" spans="1:20">
      <c r="A207" s="4">
        <f t="shared" si="3"/>
        <v>206</v>
      </c>
      <c r="B207" s="4" t="s">
        <v>255</v>
      </c>
      <c r="C207" s="4" t="s">
        <v>28</v>
      </c>
      <c r="D207" s="4" t="s">
        <v>29</v>
      </c>
      <c r="E207" s="4" t="s">
        <v>30</v>
      </c>
      <c r="F207" s="5">
        <v>6.1</v>
      </c>
      <c r="G207" s="28">
        <v>150000</v>
      </c>
      <c r="O207" s="5" t="s">
        <v>39</v>
      </c>
      <c r="P207" s="5">
        <v>6.1</v>
      </c>
      <c r="R207" s="4">
        <v>9.3</v>
      </c>
      <c r="T207" s="4" t="s">
        <v>40</v>
      </c>
    </row>
    <row r="208" spans="1:20">
      <c r="A208" s="4">
        <f t="shared" si="3"/>
        <v>207</v>
      </c>
      <c r="B208" s="4" t="s">
        <v>256</v>
      </c>
      <c r="C208" s="4" t="s">
        <v>28</v>
      </c>
      <c r="D208" s="4" t="s">
        <v>36</v>
      </c>
      <c r="E208" s="4" t="s">
        <v>30</v>
      </c>
      <c r="F208" s="5">
        <v>5.8</v>
      </c>
      <c r="M208" s="4"/>
      <c r="N208" s="4"/>
      <c r="O208" s="4"/>
      <c r="P208" s="5">
        <v>5.8</v>
      </c>
      <c r="Q208" s="4">
        <v>60</v>
      </c>
      <c r="T208" s="4" t="s">
        <v>52</v>
      </c>
    </row>
    <row r="209" spans="1:20">
      <c r="A209" s="4">
        <f t="shared" si="3"/>
        <v>208</v>
      </c>
      <c r="B209" s="4" t="s">
        <v>257</v>
      </c>
      <c r="C209" s="4" t="s">
        <v>28</v>
      </c>
      <c r="D209" s="4" t="s">
        <v>36</v>
      </c>
      <c r="E209" s="4" t="s">
        <v>30</v>
      </c>
      <c r="F209" s="5">
        <v>16.5</v>
      </c>
      <c r="G209" s="28">
        <v>18000000</v>
      </c>
      <c r="P209" s="5">
        <v>18.6</v>
      </c>
      <c r="R209" s="4">
        <v>91.5</v>
      </c>
      <c r="T209" s="4" t="s">
        <v>52</v>
      </c>
    </row>
    <row r="210" s="2" customFormat="1" spans="1:20">
      <c r="A210" s="1">
        <f t="shared" si="3"/>
        <v>209</v>
      </c>
      <c r="B210" s="1" t="s">
        <v>258</v>
      </c>
      <c r="C210" s="1" t="s">
        <v>28</v>
      </c>
      <c r="D210" s="1" t="s">
        <v>29</v>
      </c>
      <c r="E210" s="1" t="s">
        <v>30</v>
      </c>
      <c r="F210" s="19">
        <v>1.3</v>
      </c>
      <c r="G210" s="60"/>
      <c r="H210" s="1">
        <v>0.05</v>
      </c>
      <c r="I210" s="1"/>
      <c r="J210" s="1">
        <v>15</v>
      </c>
      <c r="K210" s="1">
        <v>0.84</v>
      </c>
      <c r="L210" s="1"/>
      <c r="M210" s="1">
        <v>0.333</v>
      </c>
      <c r="N210" s="1">
        <v>0.333</v>
      </c>
      <c r="O210" s="1"/>
      <c r="P210" s="19"/>
      <c r="Q210" s="1">
        <v>3</v>
      </c>
      <c r="R210" s="1">
        <v>5.4</v>
      </c>
      <c r="S210" s="1"/>
      <c r="T210" s="1"/>
    </row>
    <row r="211" spans="1:20">
      <c r="A211" s="4">
        <f t="shared" si="3"/>
        <v>210</v>
      </c>
      <c r="B211" s="4" t="s">
        <v>259</v>
      </c>
      <c r="C211" s="4" t="s">
        <v>104</v>
      </c>
      <c r="D211" s="4" t="s">
        <v>29</v>
      </c>
      <c r="E211" s="4" t="s">
        <v>30</v>
      </c>
      <c r="F211" s="5">
        <v>46</v>
      </c>
      <c r="G211" s="28">
        <v>35600000</v>
      </c>
      <c r="M211" s="4"/>
      <c r="N211" s="4"/>
      <c r="O211" s="4"/>
      <c r="P211" s="5">
        <v>24</v>
      </c>
      <c r="Q211" s="4">
        <v>2425</v>
      </c>
      <c r="R211" s="4">
        <v>90</v>
      </c>
      <c r="S211" s="4">
        <v>2</v>
      </c>
      <c r="T211" s="4" t="s">
        <v>105</v>
      </c>
    </row>
    <row r="212" spans="1:20">
      <c r="A212" s="4">
        <f t="shared" si="3"/>
        <v>211</v>
      </c>
      <c r="B212" s="4" t="s">
        <v>260</v>
      </c>
      <c r="D212" s="59" t="s">
        <v>36</v>
      </c>
      <c r="E212" s="4" t="s">
        <v>42</v>
      </c>
      <c r="F212" s="5">
        <v>63.56</v>
      </c>
      <c r="G212" s="28">
        <v>310610000</v>
      </c>
      <c r="M212" s="4"/>
      <c r="N212" s="4"/>
      <c r="O212" s="4"/>
      <c r="P212" s="5">
        <v>63</v>
      </c>
      <c r="Q212" s="4">
        <v>10763</v>
      </c>
      <c r="S212" s="4">
        <v>7</v>
      </c>
      <c r="T212" s="4" t="s">
        <v>105</v>
      </c>
    </row>
    <row r="213" spans="1:20">
      <c r="A213" s="4">
        <f t="shared" si="3"/>
        <v>212</v>
      </c>
      <c r="B213" s="36" t="s">
        <v>261</v>
      </c>
      <c r="C213" s="36" t="s">
        <v>28</v>
      </c>
      <c r="D213" s="39"/>
      <c r="E213" s="39" t="s">
        <v>30</v>
      </c>
      <c r="F213" s="46">
        <v>1.8</v>
      </c>
      <c r="G213" s="47"/>
      <c r="H213" s="39"/>
      <c r="I213" s="39"/>
      <c r="J213" s="39"/>
      <c r="K213" s="39"/>
      <c r="L213" s="39"/>
      <c r="M213" s="39"/>
      <c r="N213" s="39"/>
      <c r="O213" s="39"/>
      <c r="P213" s="46">
        <v>3.7</v>
      </c>
      <c r="Q213" s="39"/>
      <c r="R213" s="39">
        <v>12.2</v>
      </c>
      <c r="S213" s="39"/>
      <c r="T213" s="39"/>
    </row>
    <row r="214" spans="1:20">
      <c r="A214" s="4">
        <f t="shared" si="3"/>
        <v>213</v>
      </c>
      <c r="B214" s="36" t="s">
        <v>262</v>
      </c>
      <c r="C214" s="36" t="s">
        <v>28</v>
      </c>
      <c r="D214" s="39"/>
      <c r="E214" s="39" t="s">
        <v>30</v>
      </c>
      <c r="F214" s="46">
        <v>11</v>
      </c>
      <c r="G214" s="47"/>
      <c r="H214" s="39"/>
      <c r="I214" s="39"/>
      <c r="J214" s="39"/>
      <c r="K214" s="39"/>
      <c r="L214" s="39"/>
      <c r="M214" s="39"/>
      <c r="N214" s="39"/>
      <c r="O214" s="39"/>
      <c r="P214" s="46">
        <v>3.1</v>
      </c>
      <c r="Q214" s="39"/>
      <c r="R214" s="39">
        <v>3.1</v>
      </c>
      <c r="S214" s="39"/>
      <c r="T214" s="39"/>
    </row>
    <row r="215" spans="1:20">
      <c r="A215" s="4">
        <f t="shared" si="3"/>
        <v>214</v>
      </c>
      <c r="B215" s="4" t="s">
        <v>263</v>
      </c>
      <c r="C215" s="4" t="s">
        <v>28</v>
      </c>
      <c r="D215" s="4" t="s">
        <v>29</v>
      </c>
      <c r="E215" s="4" t="s">
        <v>30</v>
      </c>
      <c r="G215" s="28"/>
      <c r="M215" s="4"/>
      <c r="N215" s="4"/>
      <c r="O215" s="4"/>
      <c r="P215" s="5">
        <v>8.69</v>
      </c>
      <c r="R215" s="4">
        <v>30.5</v>
      </c>
      <c r="S215" s="4">
        <v>1</v>
      </c>
      <c r="T215" s="4" t="s">
        <v>90</v>
      </c>
    </row>
    <row r="216" spans="1:20">
      <c r="A216" s="4">
        <f t="shared" si="3"/>
        <v>215</v>
      </c>
      <c r="B216" s="4" t="s">
        <v>264</v>
      </c>
      <c r="C216" s="4" t="s">
        <v>35</v>
      </c>
      <c r="D216" s="4" t="s">
        <v>36</v>
      </c>
      <c r="E216" s="4" t="s">
        <v>30</v>
      </c>
      <c r="F216" s="5">
        <v>3.5</v>
      </c>
      <c r="G216" s="28">
        <v>500000</v>
      </c>
      <c r="P216" s="5">
        <v>3.5</v>
      </c>
      <c r="Q216" s="4">
        <v>20</v>
      </c>
      <c r="T216" s="4" t="s">
        <v>197</v>
      </c>
    </row>
    <row r="217" s="2" customFormat="1" spans="1:20">
      <c r="A217" s="1">
        <f t="shared" si="3"/>
        <v>216</v>
      </c>
      <c r="B217" s="1" t="s">
        <v>265</v>
      </c>
      <c r="C217" s="1" t="s">
        <v>28</v>
      </c>
      <c r="D217" s="1" t="s">
        <v>36</v>
      </c>
      <c r="E217" s="1" t="s">
        <v>30</v>
      </c>
      <c r="F217" s="19"/>
      <c r="G217" s="60"/>
      <c r="H217" s="1"/>
      <c r="I217" s="1"/>
      <c r="J217" s="1"/>
      <c r="K217" s="1"/>
      <c r="L217" s="1"/>
      <c r="M217" s="1"/>
      <c r="N217" s="1"/>
      <c r="O217" s="1"/>
      <c r="P217" s="19">
        <v>5.8</v>
      </c>
      <c r="Q217" s="1">
        <v>30</v>
      </c>
      <c r="R217" s="1"/>
      <c r="S217" s="1"/>
      <c r="T217" s="1" t="s">
        <v>49</v>
      </c>
    </row>
    <row r="218" s="2" customFormat="1" spans="1:20">
      <c r="A218" s="1">
        <f t="shared" si="3"/>
        <v>217</v>
      </c>
      <c r="B218" s="1" t="s">
        <v>266</v>
      </c>
      <c r="C218" s="1" t="s">
        <v>28</v>
      </c>
      <c r="D218" s="1" t="s">
        <v>36</v>
      </c>
      <c r="E218" s="1" t="s">
        <v>30</v>
      </c>
      <c r="F218" s="19">
        <v>7.77</v>
      </c>
      <c r="G218" s="60">
        <v>105000</v>
      </c>
      <c r="H218" s="1"/>
      <c r="I218" s="1"/>
      <c r="J218" s="1"/>
      <c r="K218" s="1"/>
      <c r="L218" s="1"/>
      <c r="M218" s="19"/>
      <c r="N218" s="19"/>
      <c r="O218" s="19" t="s">
        <v>39</v>
      </c>
      <c r="P218" s="19">
        <v>7.77</v>
      </c>
      <c r="Q218" s="1"/>
      <c r="R218" s="1">
        <v>16.5</v>
      </c>
      <c r="S218" s="1"/>
      <c r="T218" s="1" t="s">
        <v>40</v>
      </c>
    </row>
    <row r="219" spans="1:20">
      <c r="A219" s="4">
        <f t="shared" si="3"/>
        <v>218</v>
      </c>
      <c r="B219" s="4" t="s">
        <v>267</v>
      </c>
      <c r="C219" s="4" t="s">
        <v>28</v>
      </c>
      <c r="D219" s="4" t="s">
        <v>29</v>
      </c>
      <c r="E219" s="4" t="s">
        <v>30</v>
      </c>
      <c r="M219" s="4"/>
      <c r="N219" s="4"/>
      <c r="O219" s="4" t="s">
        <v>31</v>
      </c>
      <c r="P219" s="5">
        <v>4.42</v>
      </c>
      <c r="Q219" s="4">
        <v>116</v>
      </c>
      <c r="R219" s="4">
        <v>88.4</v>
      </c>
      <c r="S219" s="4">
        <v>2.5</v>
      </c>
      <c r="T219" s="4" t="s">
        <v>268</v>
      </c>
    </row>
    <row r="220" spans="1:20">
      <c r="A220" s="4">
        <f t="shared" si="3"/>
        <v>219</v>
      </c>
      <c r="B220" s="4" t="s">
        <v>269</v>
      </c>
      <c r="C220" s="4" t="s">
        <v>28</v>
      </c>
      <c r="D220" s="4" t="s">
        <v>36</v>
      </c>
      <c r="E220" s="4" t="s">
        <v>30</v>
      </c>
      <c r="F220" s="5">
        <v>15.2</v>
      </c>
      <c r="G220" s="28">
        <v>617000</v>
      </c>
      <c r="P220" s="5">
        <v>15.2</v>
      </c>
      <c r="Q220" s="4">
        <v>480</v>
      </c>
      <c r="S220" s="4">
        <v>3</v>
      </c>
      <c r="T220" s="4" t="s">
        <v>52</v>
      </c>
    </row>
    <row r="221" spans="1:20">
      <c r="A221" s="4">
        <f t="shared" si="3"/>
        <v>220</v>
      </c>
      <c r="B221" s="36" t="s">
        <v>270</v>
      </c>
      <c r="C221" s="36" t="s">
        <v>28</v>
      </c>
      <c r="D221" s="39"/>
      <c r="E221" s="39" t="s">
        <v>30</v>
      </c>
      <c r="F221" s="46">
        <v>5.2</v>
      </c>
      <c r="G221" s="47"/>
      <c r="H221" s="39"/>
      <c r="I221" s="39"/>
      <c r="J221" s="39"/>
      <c r="K221" s="39"/>
      <c r="L221" s="39"/>
      <c r="M221" s="39"/>
      <c r="N221" s="39"/>
      <c r="O221" s="39"/>
      <c r="P221" s="46">
        <v>5.2</v>
      </c>
      <c r="Q221" s="39"/>
      <c r="R221" s="39">
        <v>9.2</v>
      </c>
      <c r="S221" s="39"/>
      <c r="T221" s="39"/>
    </row>
    <row r="222" spans="1:20">
      <c r="A222" s="4">
        <f t="shared" si="3"/>
        <v>221</v>
      </c>
      <c r="B222" s="4" t="s">
        <v>271</v>
      </c>
      <c r="C222" s="4" t="s">
        <v>35</v>
      </c>
      <c r="D222" s="4" t="s">
        <v>36</v>
      </c>
      <c r="E222" s="4" t="s">
        <v>30</v>
      </c>
      <c r="F222" s="5">
        <v>18</v>
      </c>
      <c r="G222" s="28">
        <v>700000</v>
      </c>
      <c r="O222" s="5" t="s">
        <v>31</v>
      </c>
      <c r="P222" s="5">
        <v>18</v>
      </c>
      <c r="Q222" s="4">
        <v>200</v>
      </c>
      <c r="S222" s="4">
        <v>0.17</v>
      </c>
      <c r="T222" s="4" t="s">
        <v>40</v>
      </c>
    </row>
    <row r="223" spans="1:20">
      <c r="A223" s="4">
        <f t="shared" si="3"/>
        <v>222</v>
      </c>
      <c r="B223" s="4" t="s">
        <v>272</v>
      </c>
      <c r="C223" s="4" t="s">
        <v>35</v>
      </c>
      <c r="D223" s="4" t="s">
        <v>36</v>
      </c>
      <c r="E223" s="4" t="s">
        <v>30</v>
      </c>
      <c r="F223" s="5">
        <v>7</v>
      </c>
      <c r="G223" s="28">
        <v>250000</v>
      </c>
      <c r="P223" s="5">
        <v>7</v>
      </c>
      <c r="Q223" s="4">
        <v>30</v>
      </c>
      <c r="T223" s="4" t="s">
        <v>37</v>
      </c>
    </row>
    <row r="224" spans="1:20">
      <c r="A224" s="4">
        <f t="shared" si="3"/>
        <v>223</v>
      </c>
      <c r="B224" s="4" t="s">
        <v>273</v>
      </c>
      <c r="C224" s="4" t="s">
        <v>35</v>
      </c>
      <c r="D224" s="4" t="s">
        <v>36</v>
      </c>
      <c r="E224" s="4" t="s">
        <v>30</v>
      </c>
      <c r="F224" s="5">
        <v>4.4</v>
      </c>
      <c r="G224" s="28">
        <v>270000</v>
      </c>
      <c r="P224" s="5">
        <v>4.4</v>
      </c>
      <c r="Q224" s="4">
        <v>85.6</v>
      </c>
      <c r="T224" s="4" t="s">
        <v>37</v>
      </c>
    </row>
    <row r="225" spans="1:20">
      <c r="A225" s="4">
        <f t="shared" si="3"/>
        <v>224</v>
      </c>
      <c r="B225" s="4" t="s">
        <v>274</v>
      </c>
      <c r="C225" s="4" t="s">
        <v>28</v>
      </c>
      <c r="D225" s="4" t="s">
        <v>29</v>
      </c>
      <c r="E225" s="4" t="s">
        <v>30</v>
      </c>
      <c r="F225" s="5">
        <v>24</v>
      </c>
      <c r="G225" s="28">
        <v>50000000</v>
      </c>
      <c r="O225" s="5" t="s">
        <v>39</v>
      </c>
      <c r="P225" s="5">
        <v>21.3</v>
      </c>
      <c r="Q225" s="4">
        <v>3110</v>
      </c>
      <c r="R225" s="4">
        <v>70</v>
      </c>
      <c r="S225" s="4">
        <v>1</v>
      </c>
      <c r="T225" s="4" t="s">
        <v>133</v>
      </c>
    </row>
    <row r="226" spans="1:20">
      <c r="A226" s="4">
        <f t="shared" si="3"/>
        <v>225</v>
      </c>
      <c r="B226" s="4" t="s">
        <v>275</v>
      </c>
      <c r="C226" s="4" t="s">
        <v>35</v>
      </c>
      <c r="D226" s="4" t="s">
        <v>36</v>
      </c>
      <c r="E226" s="4" t="s">
        <v>30</v>
      </c>
      <c r="F226" s="5">
        <v>8.6</v>
      </c>
      <c r="G226" s="28">
        <v>116000</v>
      </c>
      <c r="P226" s="5">
        <v>8.6</v>
      </c>
      <c r="Q226" s="4">
        <v>100</v>
      </c>
      <c r="T226" s="4" t="s">
        <v>52</v>
      </c>
    </row>
    <row r="227" spans="1:20">
      <c r="A227" s="4">
        <f t="shared" si="3"/>
        <v>226</v>
      </c>
      <c r="B227" s="4" t="s">
        <v>276</v>
      </c>
      <c r="C227" s="4" t="s">
        <v>28</v>
      </c>
      <c r="D227" s="4" t="s">
        <v>36</v>
      </c>
      <c r="E227" s="4" t="s">
        <v>30</v>
      </c>
      <c r="F227" s="5">
        <v>14</v>
      </c>
      <c r="G227" s="28">
        <v>6780000</v>
      </c>
      <c r="P227" s="5">
        <v>9.54</v>
      </c>
      <c r="R227" s="4">
        <v>38.9</v>
      </c>
      <c r="T227" s="4" t="s">
        <v>52</v>
      </c>
    </row>
    <row r="228" spans="1:20">
      <c r="A228" s="4">
        <f t="shared" si="3"/>
        <v>227</v>
      </c>
      <c r="B228" s="4" t="s">
        <v>277</v>
      </c>
      <c r="C228" s="4" t="s">
        <v>28</v>
      </c>
      <c r="D228" s="4" t="s">
        <v>36</v>
      </c>
      <c r="E228" s="4" t="s">
        <v>30</v>
      </c>
      <c r="F228" s="5">
        <v>3.66</v>
      </c>
      <c r="G228" s="28">
        <v>13900</v>
      </c>
      <c r="P228" s="5">
        <v>3.66</v>
      </c>
      <c r="R228" s="4">
        <v>2.29</v>
      </c>
      <c r="T228" s="4" t="s">
        <v>52</v>
      </c>
    </row>
    <row r="229" spans="1:20">
      <c r="A229" s="4">
        <f t="shared" si="3"/>
        <v>228</v>
      </c>
      <c r="B229" s="45" t="s">
        <v>278</v>
      </c>
      <c r="C229" s="4" t="s">
        <v>28</v>
      </c>
      <c r="D229" s="4" t="s">
        <v>29</v>
      </c>
      <c r="E229" s="4" t="s">
        <v>30</v>
      </c>
      <c r="F229" s="5">
        <v>7.32</v>
      </c>
      <c r="G229" s="28">
        <v>24700</v>
      </c>
      <c r="H229" s="4">
        <v>0.03</v>
      </c>
      <c r="I229" s="4">
        <v>0.35</v>
      </c>
      <c r="J229" s="4">
        <v>7.5</v>
      </c>
      <c r="K229" s="4">
        <v>0.5</v>
      </c>
      <c r="L229" s="4">
        <v>20</v>
      </c>
      <c r="M229" s="5">
        <v>0.7</v>
      </c>
      <c r="N229" s="5">
        <v>0.7</v>
      </c>
      <c r="O229" s="5" t="s">
        <v>31</v>
      </c>
      <c r="P229" s="5">
        <v>7.32</v>
      </c>
      <c r="Q229" s="4">
        <v>181</v>
      </c>
      <c r="R229" s="4">
        <v>13.3</v>
      </c>
      <c r="T229" s="21" t="s">
        <v>32</v>
      </c>
    </row>
    <row r="230" spans="1:20">
      <c r="A230" s="4">
        <f t="shared" si="3"/>
        <v>229</v>
      </c>
      <c r="B230" s="4" t="s">
        <v>279</v>
      </c>
      <c r="C230" s="4" t="s">
        <v>125</v>
      </c>
      <c r="D230" s="4" t="s">
        <v>36</v>
      </c>
      <c r="E230" s="4" t="s">
        <v>30</v>
      </c>
      <c r="F230" s="5">
        <v>38.4</v>
      </c>
      <c r="G230" s="28">
        <v>71500000</v>
      </c>
      <c r="M230" s="4"/>
      <c r="N230" s="4"/>
      <c r="O230" s="4"/>
      <c r="Q230" s="4">
        <v>7200</v>
      </c>
      <c r="R230" s="4">
        <v>61</v>
      </c>
      <c r="S230" s="4">
        <v>2</v>
      </c>
    </row>
    <row r="231" spans="1:20">
      <c r="A231" s="4">
        <f t="shared" si="3"/>
        <v>230</v>
      </c>
      <c r="B231" s="4" t="s">
        <v>280</v>
      </c>
      <c r="C231" s="4" t="s">
        <v>28</v>
      </c>
      <c r="D231" s="4" t="s">
        <v>36</v>
      </c>
      <c r="E231" s="4" t="s">
        <v>30</v>
      </c>
      <c r="F231" s="5">
        <v>8.53</v>
      </c>
      <c r="G231" s="28">
        <v>56800</v>
      </c>
      <c r="P231" s="5">
        <v>8.53</v>
      </c>
      <c r="Q231" s="4">
        <v>435</v>
      </c>
      <c r="T231" s="4" t="s">
        <v>52</v>
      </c>
    </row>
    <row r="232" spans="1:20">
      <c r="A232" s="4">
        <f t="shared" si="3"/>
        <v>231</v>
      </c>
      <c r="B232" s="4" t="s">
        <v>281</v>
      </c>
      <c r="C232" s="4" t="s">
        <v>28</v>
      </c>
      <c r="D232" s="4" t="s">
        <v>36</v>
      </c>
      <c r="E232" s="4" t="s">
        <v>42</v>
      </c>
      <c r="F232" s="5">
        <v>30.5</v>
      </c>
      <c r="G232" s="28">
        <v>3920000</v>
      </c>
      <c r="O232" s="5" t="s">
        <v>31</v>
      </c>
      <c r="P232" s="5">
        <v>30.5</v>
      </c>
      <c r="Q232" s="4">
        <v>4500</v>
      </c>
      <c r="R232" s="4">
        <v>137</v>
      </c>
      <c r="S232" s="4">
        <v>0.5</v>
      </c>
      <c r="T232" s="4" t="s">
        <v>90</v>
      </c>
    </row>
    <row r="233" spans="1:20">
      <c r="A233" s="4">
        <f t="shared" si="3"/>
        <v>232</v>
      </c>
      <c r="B233" s="36" t="s">
        <v>282</v>
      </c>
      <c r="C233" s="36" t="s">
        <v>28</v>
      </c>
      <c r="D233" s="39"/>
      <c r="E233" s="39" t="s">
        <v>30</v>
      </c>
      <c r="F233" s="46">
        <v>9.1</v>
      </c>
      <c r="G233" s="47"/>
      <c r="H233" s="39"/>
      <c r="I233" s="39"/>
      <c r="J233" s="39"/>
      <c r="K233" s="39"/>
      <c r="L233" s="39"/>
      <c r="M233" s="39"/>
      <c r="N233" s="39"/>
      <c r="O233" s="39"/>
      <c r="P233" s="46">
        <v>9.1</v>
      </c>
      <c r="Q233" s="39"/>
      <c r="R233" s="39"/>
      <c r="S233" s="39"/>
      <c r="T233" s="39"/>
    </row>
    <row r="234" spans="1:20">
      <c r="A234" s="4">
        <f t="shared" si="3"/>
        <v>233</v>
      </c>
      <c r="B234" s="4" t="s">
        <v>283</v>
      </c>
      <c r="C234" s="4" t="s">
        <v>93</v>
      </c>
      <c r="D234" s="4" t="s">
        <v>29</v>
      </c>
      <c r="E234" s="4" t="s">
        <v>30</v>
      </c>
      <c r="G234" s="28"/>
      <c r="M234" s="4"/>
      <c r="N234" s="4"/>
      <c r="O234" s="4"/>
      <c r="P234" s="5">
        <v>11.9</v>
      </c>
      <c r="R234" s="4">
        <v>15</v>
      </c>
      <c r="T234" s="4" t="s">
        <v>90</v>
      </c>
    </row>
    <row r="235" spans="1:20">
      <c r="A235" s="4">
        <f t="shared" si="3"/>
        <v>234</v>
      </c>
      <c r="B235" s="36" t="s">
        <v>284</v>
      </c>
      <c r="C235" s="36" t="s">
        <v>28</v>
      </c>
      <c r="D235" s="39"/>
      <c r="E235" s="39" t="s">
        <v>30</v>
      </c>
      <c r="F235" s="46">
        <v>4</v>
      </c>
      <c r="G235" s="47"/>
      <c r="H235" s="39"/>
      <c r="I235" s="39"/>
      <c r="J235" s="39"/>
      <c r="K235" s="39"/>
      <c r="L235" s="39"/>
      <c r="M235" s="39"/>
      <c r="N235" s="39"/>
      <c r="O235" s="39"/>
      <c r="P235" s="46">
        <v>6.9</v>
      </c>
      <c r="Q235" s="39"/>
      <c r="R235" s="39">
        <v>9.9</v>
      </c>
      <c r="S235" s="39"/>
      <c r="T235" s="39"/>
    </row>
    <row r="236" spans="1:20">
      <c r="A236" s="4">
        <f t="shared" si="3"/>
        <v>235</v>
      </c>
      <c r="B236" s="51" t="s">
        <v>285</v>
      </c>
      <c r="C236" s="51" t="s">
        <v>286</v>
      </c>
      <c r="D236" s="1"/>
      <c r="E236" s="43" t="s">
        <v>42</v>
      </c>
      <c r="F236" s="5">
        <v>54</v>
      </c>
      <c r="G236" s="28">
        <v>52</v>
      </c>
      <c r="M236" s="4"/>
      <c r="N236" s="4"/>
      <c r="O236" s="4"/>
      <c r="R236" s="4">
        <v>152.1</v>
      </c>
      <c r="S236" s="4">
        <v>1.05</v>
      </c>
    </row>
    <row r="237" spans="1:20">
      <c r="A237" s="4">
        <f t="shared" si="3"/>
        <v>236</v>
      </c>
      <c r="B237" s="4" t="s">
        <v>287</v>
      </c>
      <c r="C237" s="4" t="s">
        <v>35</v>
      </c>
      <c r="D237" s="4" t="s">
        <v>36</v>
      </c>
      <c r="E237" s="4" t="s">
        <v>30</v>
      </c>
      <c r="F237" s="5">
        <v>14</v>
      </c>
      <c r="G237" s="28">
        <v>110000</v>
      </c>
      <c r="O237" s="5" t="s">
        <v>39</v>
      </c>
      <c r="P237" s="5">
        <v>14</v>
      </c>
      <c r="T237" s="4" t="s">
        <v>268</v>
      </c>
    </row>
    <row r="238" spans="1:20">
      <c r="A238" s="4">
        <f t="shared" si="3"/>
        <v>237</v>
      </c>
      <c r="B238" s="4" t="s">
        <v>288</v>
      </c>
      <c r="C238" s="4" t="s">
        <v>35</v>
      </c>
      <c r="D238" s="4" t="s">
        <v>29</v>
      </c>
      <c r="E238" s="4" t="s">
        <v>30</v>
      </c>
      <c r="F238" s="5">
        <v>11.5</v>
      </c>
      <c r="G238" s="28">
        <v>2150000</v>
      </c>
      <c r="O238" s="5" t="s">
        <v>31</v>
      </c>
      <c r="P238" s="5">
        <v>13</v>
      </c>
      <c r="R238" s="4">
        <v>41</v>
      </c>
      <c r="T238" s="4" t="s">
        <v>40</v>
      </c>
    </row>
    <row r="239" spans="1:20">
      <c r="A239" s="4">
        <f t="shared" si="3"/>
        <v>238</v>
      </c>
      <c r="B239" s="4" t="s">
        <v>289</v>
      </c>
      <c r="C239" s="4" t="s">
        <v>35</v>
      </c>
      <c r="D239" s="4" t="s">
        <v>36</v>
      </c>
      <c r="E239" s="4" t="s">
        <v>30</v>
      </c>
      <c r="F239" s="5">
        <v>1.2</v>
      </c>
      <c r="G239" s="28">
        <v>400000</v>
      </c>
      <c r="P239" s="5">
        <v>1.2</v>
      </c>
      <c r="Q239" s="4">
        <v>24</v>
      </c>
      <c r="T239" s="4" t="s">
        <v>37</v>
      </c>
    </row>
    <row r="240" spans="1:20">
      <c r="A240" s="4">
        <f t="shared" si="3"/>
        <v>239</v>
      </c>
      <c r="B240" s="4" t="s">
        <v>290</v>
      </c>
      <c r="C240" s="4" t="s">
        <v>35</v>
      </c>
      <c r="D240" s="4" t="s">
        <v>36</v>
      </c>
      <c r="E240" s="4" t="s">
        <v>30</v>
      </c>
      <c r="F240" s="5">
        <v>6.8</v>
      </c>
      <c r="G240" s="28">
        <v>120000</v>
      </c>
      <c r="P240" s="5">
        <v>6.8</v>
      </c>
      <c r="Q240" s="4">
        <v>123</v>
      </c>
      <c r="T240" s="4" t="s">
        <v>291</v>
      </c>
    </row>
    <row r="241" spans="1:20">
      <c r="A241" s="4">
        <f t="shared" si="3"/>
        <v>240</v>
      </c>
      <c r="B241" s="4" t="s">
        <v>292</v>
      </c>
      <c r="C241" s="4" t="s">
        <v>35</v>
      </c>
      <c r="D241" s="4" t="s">
        <v>36</v>
      </c>
      <c r="E241" s="4" t="s">
        <v>30</v>
      </c>
      <c r="F241" s="5">
        <v>11.2</v>
      </c>
      <c r="G241" s="28">
        <v>370000</v>
      </c>
      <c r="P241" s="5">
        <v>11.2</v>
      </c>
      <c r="Q241" s="4">
        <v>72</v>
      </c>
      <c r="T241" s="4" t="s">
        <v>291</v>
      </c>
    </row>
    <row r="242" spans="1:20">
      <c r="A242" s="4">
        <f t="shared" si="3"/>
        <v>241</v>
      </c>
      <c r="B242" s="45" t="s">
        <v>293</v>
      </c>
      <c r="C242" s="4" t="s">
        <v>28</v>
      </c>
      <c r="D242" s="4" t="s">
        <v>29</v>
      </c>
      <c r="E242" s="4" t="s">
        <v>30</v>
      </c>
      <c r="F242" s="5">
        <v>17.07</v>
      </c>
      <c r="G242" s="28">
        <v>1430000</v>
      </c>
      <c r="H242" s="4">
        <v>0.03</v>
      </c>
      <c r="I242" s="4">
        <v>0.35</v>
      </c>
      <c r="J242" s="4">
        <v>29</v>
      </c>
      <c r="K242" s="4">
        <v>0.55</v>
      </c>
      <c r="L242" s="4">
        <v>20</v>
      </c>
      <c r="M242" s="5">
        <v>0.3</v>
      </c>
      <c r="N242" s="5">
        <v>0.5</v>
      </c>
      <c r="O242" s="5" t="s">
        <v>39</v>
      </c>
      <c r="P242" s="5">
        <v>17.1</v>
      </c>
      <c r="R242" s="4">
        <v>22</v>
      </c>
      <c r="T242" s="21" t="s">
        <v>32</v>
      </c>
    </row>
    <row r="243" spans="1:20">
      <c r="A243" s="4">
        <f t="shared" si="3"/>
        <v>242</v>
      </c>
      <c r="B243" s="4" t="s">
        <v>294</v>
      </c>
      <c r="C243" s="4" t="s">
        <v>35</v>
      </c>
      <c r="D243" s="4" t="s">
        <v>36</v>
      </c>
      <c r="E243" s="4" t="s">
        <v>30</v>
      </c>
      <c r="F243" s="5">
        <v>8.7</v>
      </c>
      <c r="G243" s="28">
        <v>2000000</v>
      </c>
      <c r="P243" s="5">
        <v>8.7</v>
      </c>
      <c r="Q243" s="4">
        <v>1200</v>
      </c>
      <c r="T243" s="4" t="s">
        <v>37</v>
      </c>
    </row>
    <row r="244" spans="1:20">
      <c r="A244" s="4">
        <f t="shared" si="3"/>
        <v>243</v>
      </c>
      <c r="B244" s="4" t="s">
        <v>295</v>
      </c>
      <c r="C244" s="4" t="s">
        <v>35</v>
      </c>
      <c r="D244" s="4" t="s">
        <v>36</v>
      </c>
      <c r="E244" s="4" t="s">
        <v>30</v>
      </c>
      <c r="F244" s="5">
        <v>29</v>
      </c>
      <c r="G244" s="28">
        <v>664000</v>
      </c>
      <c r="P244" s="5">
        <v>29</v>
      </c>
      <c r="Q244" s="4">
        <v>4500</v>
      </c>
      <c r="T244" s="4" t="s">
        <v>296</v>
      </c>
    </row>
    <row r="245" spans="1:20">
      <c r="A245" s="4">
        <f t="shared" si="3"/>
        <v>244</v>
      </c>
      <c r="B245" s="4" t="s">
        <v>297</v>
      </c>
      <c r="C245" s="4" t="s">
        <v>35</v>
      </c>
      <c r="D245" s="4" t="s">
        <v>36</v>
      </c>
      <c r="E245" s="4" t="s">
        <v>30</v>
      </c>
      <c r="F245" s="5">
        <v>14</v>
      </c>
      <c r="G245" s="28">
        <v>2060000</v>
      </c>
      <c r="O245" s="5" t="s">
        <v>39</v>
      </c>
      <c r="P245" s="5">
        <v>14</v>
      </c>
      <c r="T245" s="4" t="s">
        <v>268</v>
      </c>
    </row>
    <row r="246" spans="1:20">
      <c r="A246" s="4">
        <f t="shared" si="3"/>
        <v>245</v>
      </c>
      <c r="B246" s="4" t="s">
        <v>298</v>
      </c>
      <c r="C246" s="4" t="s">
        <v>35</v>
      </c>
      <c r="D246" s="4" t="s">
        <v>36</v>
      </c>
      <c r="E246" s="4" t="s">
        <v>30</v>
      </c>
      <c r="F246" s="5">
        <v>25</v>
      </c>
      <c r="G246" s="28">
        <v>94400000</v>
      </c>
      <c r="O246" s="5" t="s">
        <v>31</v>
      </c>
      <c r="P246" s="5">
        <v>25.8</v>
      </c>
      <c r="Q246" s="4">
        <v>30000</v>
      </c>
      <c r="R246" s="4">
        <v>367</v>
      </c>
      <c r="S246" s="4">
        <v>5.5</v>
      </c>
      <c r="T246" s="4" t="s">
        <v>268</v>
      </c>
    </row>
    <row r="247" spans="1:20">
      <c r="A247" s="4">
        <f t="shared" si="3"/>
        <v>246</v>
      </c>
      <c r="B247" s="4" t="s">
        <v>299</v>
      </c>
      <c r="C247" s="4" t="s">
        <v>35</v>
      </c>
      <c r="D247" s="4" t="s">
        <v>36</v>
      </c>
      <c r="E247" s="4" t="s">
        <v>30</v>
      </c>
      <c r="F247" s="5">
        <v>6</v>
      </c>
      <c r="G247" s="28">
        <v>100000</v>
      </c>
      <c r="P247" s="5">
        <v>6</v>
      </c>
      <c r="Q247" s="4">
        <v>43</v>
      </c>
      <c r="T247" s="4" t="s">
        <v>291</v>
      </c>
    </row>
    <row r="248" spans="1:20">
      <c r="A248" s="4">
        <f t="shared" si="3"/>
        <v>247</v>
      </c>
      <c r="B248" s="4" t="s">
        <v>300</v>
      </c>
      <c r="C248" s="4" t="s">
        <v>35</v>
      </c>
      <c r="D248" s="4" t="s">
        <v>36</v>
      </c>
      <c r="E248" s="4" t="s">
        <v>30</v>
      </c>
      <c r="F248" s="5">
        <v>6</v>
      </c>
      <c r="G248" s="28">
        <v>670000</v>
      </c>
      <c r="P248" s="5">
        <v>6</v>
      </c>
      <c r="Q248" s="4">
        <v>50</v>
      </c>
      <c r="T248" s="4" t="s">
        <v>291</v>
      </c>
    </row>
    <row r="249" spans="1:20">
      <c r="A249" s="4">
        <f t="shared" si="3"/>
        <v>248</v>
      </c>
      <c r="B249" s="4" t="s">
        <v>301</v>
      </c>
      <c r="C249" s="4" t="s">
        <v>35</v>
      </c>
      <c r="D249" s="4" t="s">
        <v>36</v>
      </c>
      <c r="E249" s="4" t="s">
        <v>30</v>
      </c>
      <c r="F249" s="5">
        <v>8</v>
      </c>
      <c r="G249" s="28">
        <v>280000</v>
      </c>
      <c r="P249" s="5">
        <v>8</v>
      </c>
      <c r="Q249" s="4">
        <v>866</v>
      </c>
      <c r="T249" s="4" t="s">
        <v>37</v>
      </c>
    </row>
    <row r="250" spans="1:20">
      <c r="A250" s="4">
        <f t="shared" si="3"/>
        <v>249</v>
      </c>
      <c r="B250" s="4" t="s">
        <v>302</v>
      </c>
      <c r="C250" s="4" t="s">
        <v>35</v>
      </c>
      <c r="D250" s="4" t="s">
        <v>36</v>
      </c>
      <c r="E250" s="4" t="s">
        <v>30</v>
      </c>
      <c r="F250" s="5">
        <v>7.5</v>
      </c>
      <c r="G250" s="28">
        <v>13500000</v>
      </c>
      <c r="P250" s="5">
        <v>7.5</v>
      </c>
      <c r="Q250" s="4">
        <v>605</v>
      </c>
      <c r="T250" s="4" t="s">
        <v>291</v>
      </c>
    </row>
    <row r="251" spans="1:20">
      <c r="A251" s="4">
        <f t="shared" si="3"/>
        <v>250</v>
      </c>
      <c r="B251" s="4" t="s">
        <v>303</v>
      </c>
      <c r="C251" s="4" t="s">
        <v>28</v>
      </c>
      <c r="D251" s="4" t="s">
        <v>36</v>
      </c>
      <c r="E251" s="4" t="s">
        <v>30</v>
      </c>
      <c r="F251" s="5">
        <v>21.34</v>
      </c>
      <c r="G251" s="28">
        <v>3330000</v>
      </c>
      <c r="P251" s="5">
        <v>21.34</v>
      </c>
      <c r="R251" s="4">
        <v>70.6</v>
      </c>
      <c r="S251" s="4">
        <v>2</v>
      </c>
      <c r="T251" s="4" t="s">
        <v>304</v>
      </c>
    </row>
    <row r="252" spans="1:20">
      <c r="A252" s="4">
        <f t="shared" si="3"/>
        <v>251</v>
      </c>
      <c r="B252" s="36" t="s">
        <v>305</v>
      </c>
      <c r="C252" s="36" t="s">
        <v>28</v>
      </c>
      <c r="D252" s="39"/>
      <c r="E252" s="39" t="s">
        <v>30</v>
      </c>
      <c r="F252" s="46">
        <v>3.7</v>
      </c>
      <c r="G252" s="47"/>
      <c r="H252" s="39"/>
      <c r="I252" s="39"/>
      <c r="J252" s="39"/>
      <c r="K252" s="39"/>
      <c r="L252" s="39"/>
      <c r="M252" s="39"/>
      <c r="N252" s="39"/>
      <c r="O252" s="39"/>
      <c r="P252" s="46">
        <v>2.4</v>
      </c>
      <c r="Q252" s="39"/>
      <c r="R252" s="39">
        <v>22.9</v>
      </c>
      <c r="S252" s="39"/>
      <c r="T252" s="39"/>
    </row>
    <row r="253" spans="1:20">
      <c r="A253" s="4">
        <f t="shared" si="3"/>
        <v>252</v>
      </c>
      <c r="B253" s="4" t="s">
        <v>306</v>
      </c>
      <c r="C253" s="4" t="s">
        <v>28</v>
      </c>
      <c r="D253" s="4" t="s">
        <v>36</v>
      </c>
      <c r="E253" s="4" t="s">
        <v>30</v>
      </c>
      <c r="F253" s="5">
        <v>21.9</v>
      </c>
      <c r="G253" s="28">
        <v>19000000</v>
      </c>
      <c r="H253" s="4">
        <v>14</v>
      </c>
      <c r="J253" s="4">
        <v>0</v>
      </c>
      <c r="K253" s="4">
        <v>0.72</v>
      </c>
      <c r="M253" s="4">
        <v>0.5</v>
      </c>
      <c r="N253" s="4">
        <v>0.667</v>
      </c>
      <c r="O253" s="4"/>
      <c r="P253" s="5">
        <v>24.4</v>
      </c>
      <c r="Q253" s="4">
        <v>8500</v>
      </c>
      <c r="R253" s="4">
        <v>94.5</v>
      </c>
      <c r="S253" s="4">
        <v>0.75</v>
      </c>
      <c r="T253" s="4" t="s">
        <v>90</v>
      </c>
    </row>
    <row r="254" spans="1:20">
      <c r="A254" s="4">
        <f t="shared" si="3"/>
        <v>253</v>
      </c>
      <c r="B254" s="45" t="s">
        <v>307</v>
      </c>
      <c r="C254" s="4" t="s">
        <v>28</v>
      </c>
      <c r="D254" s="4" t="s">
        <v>29</v>
      </c>
      <c r="E254" s="4" t="s">
        <v>30</v>
      </c>
      <c r="F254" s="5">
        <v>5.49</v>
      </c>
      <c r="G254" s="28">
        <v>135000</v>
      </c>
      <c r="H254" s="4">
        <v>0.3</v>
      </c>
      <c r="I254" s="4">
        <v>0.35</v>
      </c>
      <c r="J254" s="4">
        <v>4</v>
      </c>
      <c r="K254" s="4">
        <v>0.45</v>
      </c>
      <c r="L254" s="4">
        <v>20</v>
      </c>
      <c r="M254" s="5">
        <v>1.3</v>
      </c>
      <c r="N254" s="5">
        <v>1.3</v>
      </c>
      <c r="O254" s="5" t="s">
        <v>31</v>
      </c>
      <c r="P254" s="5">
        <v>5.49</v>
      </c>
      <c r="R254" s="4">
        <v>14.5</v>
      </c>
      <c r="T254" s="21" t="s">
        <v>32</v>
      </c>
    </row>
    <row r="255" spans="1:20">
      <c r="A255" s="4">
        <f t="shared" si="3"/>
        <v>254</v>
      </c>
      <c r="B255" s="4" t="s">
        <v>308</v>
      </c>
      <c r="C255" s="4" t="s">
        <v>28</v>
      </c>
      <c r="D255" s="4" t="s">
        <v>36</v>
      </c>
      <c r="E255" s="4" t="s">
        <v>30</v>
      </c>
      <c r="F255" s="5">
        <v>5.5</v>
      </c>
      <c r="G255" s="28">
        <v>564000</v>
      </c>
      <c r="O255" s="5" t="s">
        <v>39</v>
      </c>
      <c r="P255" s="5">
        <v>5.12</v>
      </c>
      <c r="R255" s="4">
        <v>21</v>
      </c>
      <c r="T255" s="4" t="s">
        <v>268</v>
      </c>
    </row>
    <row r="256" spans="1:20">
      <c r="A256" s="4">
        <f t="shared" si="3"/>
        <v>255</v>
      </c>
      <c r="B256" s="36" t="s">
        <v>309</v>
      </c>
      <c r="C256" s="36" t="s">
        <v>28</v>
      </c>
      <c r="D256" s="39"/>
      <c r="E256" s="39" t="s">
        <v>30</v>
      </c>
      <c r="F256" s="46">
        <v>11</v>
      </c>
      <c r="G256" s="47"/>
      <c r="H256" s="39"/>
      <c r="I256" s="39"/>
      <c r="J256" s="39"/>
      <c r="K256" s="39"/>
      <c r="L256" s="39"/>
      <c r="M256" s="39"/>
      <c r="N256" s="39"/>
      <c r="O256" s="39"/>
      <c r="P256" s="46">
        <v>11</v>
      </c>
      <c r="Q256" s="39"/>
      <c r="R256" s="39"/>
      <c r="S256" s="39"/>
      <c r="T256" s="39"/>
    </row>
    <row r="257" spans="1:20">
      <c r="A257" s="4">
        <f t="shared" si="3"/>
        <v>256</v>
      </c>
      <c r="B257" s="4" t="s">
        <v>310</v>
      </c>
      <c r="C257" s="4" t="s">
        <v>28</v>
      </c>
      <c r="D257" s="4" t="s">
        <v>36</v>
      </c>
      <c r="E257" s="43" t="s">
        <v>42</v>
      </c>
      <c r="F257" s="5">
        <v>57.61</v>
      </c>
      <c r="G257" s="28">
        <v>37000000</v>
      </c>
      <c r="O257" s="5" t="s">
        <v>39</v>
      </c>
      <c r="P257" s="5">
        <v>57.6</v>
      </c>
      <c r="Q257" s="4">
        <v>24947</v>
      </c>
      <c r="R257" s="4">
        <v>225</v>
      </c>
      <c r="S257" s="4">
        <v>0.25</v>
      </c>
      <c r="T257" s="4" t="s">
        <v>311</v>
      </c>
    </row>
    <row r="258" spans="1:20">
      <c r="A258" s="4">
        <f t="shared" si="3"/>
        <v>257</v>
      </c>
      <c r="B258" s="4" t="s">
        <v>312</v>
      </c>
      <c r="C258" s="4" t="s">
        <v>35</v>
      </c>
      <c r="D258" s="4" t="s">
        <v>36</v>
      </c>
      <c r="E258" s="4" t="s">
        <v>30</v>
      </c>
      <c r="F258" s="5">
        <v>6</v>
      </c>
      <c r="G258" s="28">
        <v>445000</v>
      </c>
      <c r="P258" s="5">
        <v>6</v>
      </c>
      <c r="Q258" s="4">
        <v>140</v>
      </c>
      <c r="T258" s="4" t="s">
        <v>291</v>
      </c>
    </row>
    <row r="259" spans="1:20">
      <c r="A259" s="4">
        <f t="shared" si="3"/>
        <v>258</v>
      </c>
      <c r="B259" s="4" t="s">
        <v>313</v>
      </c>
      <c r="C259" s="4" t="s">
        <v>28</v>
      </c>
      <c r="D259" s="4" t="s">
        <v>36</v>
      </c>
      <c r="E259" s="4" t="s">
        <v>314</v>
      </c>
      <c r="F259" s="5">
        <v>27.43</v>
      </c>
      <c r="G259" s="28"/>
      <c r="M259" s="4"/>
      <c r="N259" s="4"/>
      <c r="O259" s="4"/>
      <c r="P259" s="5">
        <v>36.3</v>
      </c>
      <c r="Q259" s="4">
        <v>8180</v>
      </c>
      <c r="T259" s="4" t="s">
        <v>49</v>
      </c>
    </row>
    <row r="260" spans="1:20">
      <c r="A260" s="4">
        <f t="shared" si="3"/>
        <v>259</v>
      </c>
      <c r="B260" s="45" t="s">
        <v>315</v>
      </c>
      <c r="C260" s="4" t="s">
        <v>28</v>
      </c>
      <c r="D260" s="4" t="s">
        <v>29</v>
      </c>
      <c r="E260" s="4" t="s">
        <v>42</v>
      </c>
      <c r="F260" s="5">
        <v>93</v>
      </c>
      <c r="G260" s="28">
        <v>358000000</v>
      </c>
      <c r="H260" s="4">
        <v>0.03</v>
      </c>
      <c r="I260" s="4">
        <v>0.3</v>
      </c>
      <c r="J260" s="4">
        <v>25</v>
      </c>
      <c r="K260" s="4">
        <v>0.65</v>
      </c>
      <c r="L260" s="4">
        <v>30</v>
      </c>
      <c r="M260" s="5">
        <v>0.33</v>
      </c>
      <c r="N260" s="5">
        <v>0.4</v>
      </c>
      <c r="O260" s="5" t="s">
        <v>39</v>
      </c>
      <c r="P260" s="5">
        <v>86.9</v>
      </c>
      <c r="Q260" s="4">
        <v>65120</v>
      </c>
      <c r="R260" s="4">
        <v>151</v>
      </c>
      <c r="S260" s="4">
        <v>4</v>
      </c>
      <c r="T260" s="21" t="s">
        <v>32</v>
      </c>
    </row>
    <row r="261" spans="1:20">
      <c r="A261" s="4">
        <f t="shared" si="3"/>
        <v>260</v>
      </c>
      <c r="B261" s="36" t="s">
        <v>316</v>
      </c>
      <c r="C261" s="36" t="s">
        <v>28</v>
      </c>
      <c r="D261" s="39"/>
      <c r="E261" s="39" t="s">
        <v>30</v>
      </c>
      <c r="F261" s="46">
        <v>8.5</v>
      </c>
      <c r="G261" s="47"/>
      <c r="H261" s="39"/>
      <c r="I261" s="39"/>
      <c r="J261" s="39"/>
      <c r="K261" s="39"/>
      <c r="L261" s="39"/>
      <c r="M261" s="39"/>
      <c r="N261" s="39"/>
      <c r="O261" s="39"/>
      <c r="P261" s="46">
        <v>5.8</v>
      </c>
      <c r="Q261" s="39"/>
      <c r="R261" s="39"/>
      <c r="S261" s="39"/>
      <c r="T261" s="39"/>
    </row>
    <row r="262" spans="1:20">
      <c r="A262" s="4">
        <f t="shared" ref="A262:A298" si="4">ROW()-1</f>
        <v>261</v>
      </c>
      <c r="B262" s="4" t="s">
        <v>317</v>
      </c>
      <c r="C262" s="4" t="s">
        <v>35</v>
      </c>
      <c r="D262" s="4" t="s">
        <v>36</v>
      </c>
      <c r="E262" s="4" t="s">
        <v>30</v>
      </c>
      <c r="F262" s="5">
        <v>12</v>
      </c>
      <c r="G262" s="28">
        <v>110000</v>
      </c>
      <c r="O262" s="5" t="s">
        <v>31</v>
      </c>
      <c r="P262" s="5">
        <v>12</v>
      </c>
      <c r="T262" s="4" t="s">
        <v>268</v>
      </c>
    </row>
    <row r="263" spans="1:20">
      <c r="A263" s="4">
        <f t="shared" si="4"/>
        <v>262</v>
      </c>
      <c r="B263" s="4" t="s">
        <v>318</v>
      </c>
      <c r="C263" s="4" t="s">
        <v>28</v>
      </c>
      <c r="D263" s="4" t="s">
        <v>36</v>
      </c>
      <c r="E263" s="4" t="s">
        <v>30</v>
      </c>
      <c r="F263" s="5">
        <v>9.3</v>
      </c>
      <c r="G263" s="28"/>
      <c r="M263" s="4"/>
      <c r="N263" s="4"/>
      <c r="O263" s="4"/>
      <c r="P263" s="5">
        <v>7.32</v>
      </c>
      <c r="R263" s="4">
        <v>56.7</v>
      </c>
      <c r="T263" s="4" t="s">
        <v>90</v>
      </c>
    </row>
    <row r="264" spans="1:20">
      <c r="A264" s="4">
        <f t="shared" si="4"/>
        <v>263</v>
      </c>
      <c r="B264" s="36" t="s">
        <v>319</v>
      </c>
      <c r="C264" s="36" t="s">
        <v>28</v>
      </c>
      <c r="D264" s="39"/>
      <c r="E264" s="39" t="s">
        <v>30</v>
      </c>
      <c r="F264" s="46">
        <v>24.4</v>
      </c>
      <c r="G264" s="47"/>
      <c r="H264" s="39"/>
      <c r="I264" s="39"/>
      <c r="J264" s="39"/>
      <c r="K264" s="39"/>
      <c r="L264" s="39"/>
      <c r="M264" s="39"/>
      <c r="N264" s="39"/>
      <c r="O264" s="39"/>
      <c r="P264" s="46">
        <v>24.4</v>
      </c>
      <c r="Q264" s="39"/>
      <c r="R264" s="39">
        <v>56.7</v>
      </c>
      <c r="S264" s="39"/>
      <c r="T264" s="39"/>
    </row>
    <row r="265" spans="1:20">
      <c r="A265" s="4">
        <f t="shared" si="4"/>
        <v>264</v>
      </c>
      <c r="B265" s="4" t="s">
        <v>320</v>
      </c>
      <c r="C265" s="4" t="s">
        <v>35</v>
      </c>
      <c r="D265" s="4" t="s">
        <v>36</v>
      </c>
      <c r="E265" s="4" t="s">
        <v>30</v>
      </c>
      <c r="F265" s="5">
        <v>13</v>
      </c>
      <c r="G265" s="28">
        <v>400000</v>
      </c>
      <c r="O265" s="5" t="s">
        <v>39</v>
      </c>
      <c r="P265" s="5">
        <v>10</v>
      </c>
      <c r="T265" s="4" t="s">
        <v>268</v>
      </c>
    </row>
    <row r="266" spans="1:20">
      <c r="A266" s="4">
        <f t="shared" si="4"/>
        <v>265</v>
      </c>
      <c r="B266" s="4" t="s">
        <v>321</v>
      </c>
      <c r="C266" s="4" t="s">
        <v>28</v>
      </c>
      <c r="D266" s="4" t="s">
        <v>29</v>
      </c>
      <c r="E266" s="4" t="s">
        <v>30</v>
      </c>
      <c r="F266" s="5">
        <v>9.5</v>
      </c>
      <c r="M266" s="4"/>
      <c r="N266" s="4"/>
      <c r="O266" s="4" t="s">
        <v>39</v>
      </c>
      <c r="P266" s="5">
        <v>5.18</v>
      </c>
      <c r="R266" s="4">
        <v>21</v>
      </c>
      <c r="T266" s="4" t="s">
        <v>268</v>
      </c>
    </row>
    <row r="267" spans="1:20">
      <c r="A267" s="4">
        <f t="shared" si="4"/>
        <v>266</v>
      </c>
      <c r="B267" s="4" t="s">
        <v>322</v>
      </c>
      <c r="C267" s="4" t="s">
        <v>28</v>
      </c>
      <c r="D267" s="4" t="s">
        <v>36</v>
      </c>
      <c r="E267" s="4" t="s">
        <v>30</v>
      </c>
      <c r="F267" s="5">
        <v>7.6</v>
      </c>
      <c r="G267" s="28">
        <v>200000</v>
      </c>
      <c r="P267" s="5">
        <v>8.53</v>
      </c>
      <c r="R267" s="4">
        <v>26.2</v>
      </c>
      <c r="T267" s="4" t="s">
        <v>90</v>
      </c>
    </row>
    <row r="268" spans="1:20">
      <c r="A268" s="4">
        <f t="shared" si="4"/>
        <v>267</v>
      </c>
      <c r="B268" s="4" t="s">
        <v>323</v>
      </c>
      <c r="C268" s="4" t="s">
        <v>28</v>
      </c>
      <c r="D268" s="4" t="s">
        <v>36</v>
      </c>
      <c r="E268" s="4" t="s">
        <v>30</v>
      </c>
      <c r="F268" s="5">
        <v>5.2</v>
      </c>
      <c r="G268" s="28">
        <v>220000</v>
      </c>
      <c r="O268" s="5" t="s">
        <v>39</v>
      </c>
      <c r="P268" s="5">
        <v>5.18</v>
      </c>
      <c r="R268" s="4">
        <v>16.5</v>
      </c>
      <c r="T268" s="4" t="s">
        <v>268</v>
      </c>
    </row>
    <row r="269" spans="1:20">
      <c r="A269" s="4">
        <f t="shared" si="4"/>
        <v>268</v>
      </c>
      <c r="B269" s="4" t="s">
        <v>324</v>
      </c>
      <c r="C269" s="4" t="s">
        <v>28</v>
      </c>
      <c r="D269" s="4" t="s">
        <v>36</v>
      </c>
      <c r="E269" s="4" t="s">
        <v>30</v>
      </c>
      <c r="F269" s="5">
        <v>2.29</v>
      </c>
      <c r="G269" s="28">
        <v>5300</v>
      </c>
      <c r="H269" s="4">
        <v>0.025</v>
      </c>
      <c r="I269" s="4">
        <v>0.35</v>
      </c>
      <c r="J269" s="4">
        <v>15</v>
      </c>
      <c r="K269" s="4">
        <v>0.53</v>
      </c>
      <c r="L269" s="4">
        <v>5</v>
      </c>
      <c r="M269" s="4">
        <v>0.33</v>
      </c>
      <c r="N269" s="4">
        <v>0.33</v>
      </c>
      <c r="O269" s="4"/>
      <c r="P269" s="5">
        <v>2.3</v>
      </c>
      <c r="Q269" s="4">
        <v>6.5</v>
      </c>
      <c r="R269" s="4">
        <v>6.9</v>
      </c>
      <c r="S269" s="4">
        <v>0.67</v>
      </c>
    </row>
    <row r="270" spans="1:20">
      <c r="A270" s="4">
        <f t="shared" si="4"/>
        <v>269</v>
      </c>
      <c r="B270" s="4" t="s">
        <v>325</v>
      </c>
      <c r="C270" s="4" t="s">
        <v>28</v>
      </c>
      <c r="D270" s="4" t="s">
        <v>36</v>
      </c>
      <c r="E270" s="4" t="s">
        <v>30</v>
      </c>
      <c r="F270" s="5">
        <v>21.3</v>
      </c>
      <c r="G270" s="28">
        <v>700000</v>
      </c>
      <c r="P270" s="5">
        <v>21.3</v>
      </c>
      <c r="R270" s="4">
        <v>38.1</v>
      </c>
      <c r="T270" s="4" t="s">
        <v>304</v>
      </c>
    </row>
    <row r="271" spans="1:20">
      <c r="A271" s="4">
        <f t="shared" si="4"/>
        <v>270</v>
      </c>
      <c r="B271" s="4" t="s">
        <v>326</v>
      </c>
      <c r="C271" s="4" t="s">
        <v>28</v>
      </c>
      <c r="D271" s="4" t="s">
        <v>29</v>
      </c>
      <c r="E271" s="4" t="s">
        <v>30</v>
      </c>
      <c r="F271" s="5">
        <v>7.3</v>
      </c>
      <c r="G271" s="28"/>
      <c r="M271" s="4"/>
      <c r="N271" s="4"/>
      <c r="O271" s="4"/>
      <c r="P271" s="5">
        <v>7.3</v>
      </c>
    </row>
    <row r="272" spans="1:20">
      <c r="A272" s="4">
        <f t="shared" si="4"/>
        <v>271</v>
      </c>
      <c r="B272" s="4" t="s">
        <v>327</v>
      </c>
      <c r="C272" s="4" t="s">
        <v>35</v>
      </c>
      <c r="D272" s="4" t="s">
        <v>36</v>
      </c>
      <c r="E272" s="4" t="s">
        <v>30</v>
      </c>
      <c r="F272" s="5">
        <v>16.9</v>
      </c>
      <c r="G272" s="28">
        <v>110000</v>
      </c>
      <c r="O272" s="5" t="s">
        <v>39</v>
      </c>
      <c r="P272" s="5">
        <v>16.9</v>
      </c>
      <c r="Q272" s="4">
        <v>200</v>
      </c>
      <c r="T272" s="4" t="s">
        <v>328</v>
      </c>
    </row>
    <row r="273" spans="1:20">
      <c r="A273" s="4">
        <f t="shared" si="4"/>
        <v>272</v>
      </c>
      <c r="B273" s="4" t="s">
        <v>329</v>
      </c>
      <c r="C273" s="4" t="s">
        <v>62</v>
      </c>
      <c r="D273" s="4" t="s">
        <v>36</v>
      </c>
      <c r="E273" s="4" t="s">
        <v>30</v>
      </c>
      <c r="F273" s="5">
        <v>2.8</v>
      </c>
      <c r="G273" s="28">
        <v>1380000</v>
      </c>
      <c r="P273" s="5">
        <v>2.8</v>
      </c>
      <c r="Q273" s="4">
        <v>105</v>
      </c>
      <c r="T273" s="4" t="s">
        <v>328</v>
      </c>
    </row>
    <row r="274" spans="1:20">
      <c r="A274" s="4">
        <f t="shared" si="4"/>
        <v>273</v>
      </c>
      <c r="B274" s="4" t="s">
        <v>330</v>
      </c>
      <c r="C274" s="4" t="s">
        <v>35</v>
      </c>
      <c r="D274" s="4" t="s">
        <v>36</v>
      </c>
      <c r="E274" s="4" t="s">
        <v>30</v>
      </c>
      <c r="F274" s="5">
        <v>13</v>
      </c>
      <c r="G274" s="28">
        <v>1500000</v>
      </c>
      <c r="P274" s="5">
        <v>12</v>
      </c>
      <c r="R274" s="4">
        <v>40</v>
      </c>
      <c r="T274" s="4" t="s">
        <v>268</v>
      </c>
    </row>
    <row r="275" spans="1:20">
      <c r="A275" s="4">
        <f t="shared" si="4"/>
        <v>274</v>
      </c>
      <c r="B275" s="4" t="s">
        <v>331</v>
      </c>
      <c r="C275" s="4" t="s">
        <v>35</v>
      </c>
      <c r="D275" s="4" t="s">
        <v>36</v>
      </c>
      <c r="E275" s="4" t="s">
        <v>30</v>
      </c>
      <c r="F275" s="5">
        <v>6</v>
      </c>
      <c r="G275" s="28">
        <v>100000</v>
      </c>
      <c r="P275" s="5">
        <v>6</v>
      </c>
      <c r="Q275" s="4">
        <v>140</v>
      </c>
      <c r="T275" s="4" t="s">
        <v>291</v>
      </c>
    </row>
    <row r="276" spans="1:20">
      <c r="A276" s="4">
        <f t="shared" si="4"/>
        <v>275</v>
      </c>
      <c r="B276" s="4" t="s">
        <v>332</v>
      </c>
      <c r="C276" s="4" t="s">
        <v>28</v>
      </c>
      <c r="D276" s="4" t="s">
        <v>29</v>
      </c>
      <c r="E276" s="4" t="s">
        <v>30</v>
      </c>
      <c r="F276" s="5">
        <v>13.6</v>
      </c>
      <c r="G276" s="28"/>
      <c r="M276" s="4"/>
      <c r="N276" s="4"/>
      <c r="O276" s="4"/>
      <c r="P276" s="5">
        <v>13.7</v>
      </c>
      <c r="R276" s="4">
        <v>35.4</v>
      </c>
      <c r="S276" s="4">
        <v>1.5</v>
      </c>
      <c r="T276" s="4" t="s">
        <v>90</v>
      </c>
    </row>
    <row r="277" spans="1:20">
      <c r="A277" s="4">
        <f t="shared" si="4"/>
        <v>276</v>
      </c>
      <c r="B277" s="4" t="s">
        <v>333</v>
      </c>
      <c r="C277" s="4" t="s">
        <v>28</v>
      </c>
      <c r="D277" s="4" t="s">
        <v>29</v>
      </c>
      <c r="E277" s="4" t="s">
        <v>42</v>
      </c>
      <c r="F277" s="5">
        <v>3.2</v>
      </c>
      <c r="M277" s="4"/>
      <c r="N277" s="4"/>
      <c r="O277" s="4" t="s">
        <v>31</v>
      </c>
      <c r="P277" s="5">
        <v>3.72</v>
      </c>
      <c r="R277" s="4">
        <v>29</v>
      </c>
      <c r="T277" s="4" t="s">
        <v>268</v>
      </c>
    </row>
    <row r="278" spans="1:20">
      <c r="A278" s="4">
        <f t="shared" si="4"/>
        <v>277</v>
      </c>
      <c r="B278" s="4" t="s">
        <v>334</v>
      </c>
      <c r="C278" s="4" t="s">
        <v>28</v>
      </c>
      <c r="D278" s="4" t="s">
        <v>36</v>
      </c>
      <c r="E278" s="4" t="s">
        <v>42</v>
      </c>
      <c r="F278" s="5">
        <v>7.32</v>
      </c>
      <c r="G278" s="28">
        <v>664000</v>
      </c>
      <c r="O278" s="5" t="s">
        <v>102</v>
      </c>
      <c r="P278" s="5">
        <v>6.1</v>
      </c>
      <c r="R278" s="4">
        <v>19.8</v>
      </c>
      <c r="S278" s="4">
        <v>5</v>
      </c>
      <c r="T278" s="4" t="s">
        <v>311</v>
      </c>
    </row>
    <row r="279" spans="1:20">
      <c r="A279" s="4">
        <f t="shared" si="4"/>
        <v>278</v>
      </c>
      <c r="B279" s="4" t="s">
        <v>335</v>
      </c>
      <c r="C279" s="4" t="s">
        <v>35</v>
      </c>
      <c r="D279" s="4" t="s">
        <v>36</v>
      </c>
      <c r="E279" s="4" t="s">
        <v>30</v>
      </c>
      <c r="F279" s="5">
        <v>6.5</v>
      </c>
      <c r="G279" s="28">
        <v>1000000</v>
      </c>
      <c r="P279" s="5">
        <v>6.5</v>
      </c>
      <c r="Q279" s="4">
        <v>50</v>
      </c>
      <c r="T279" s="4" t="s">
        <v>291</v>
      </c>
    </row>
    <row r="280" spans="1:20">
      <c r="A280" s="4">
        <f t="shared" si="4"/>
        <v>279</v>
      </c>
      <c r="B280" s="4" t="s">
        <v>336</v>
      </c>
      <c r="C280" s="4" t="s">
        <v>35</v>
      </c>
      <c r="D280" s="4" t="s">
        <v>36</v>
      </c>
      <c r="E280" s="4" t="s">
        <v>30</v>
      </c>
      <c r="F280" s="5">
        <v>4</v>
      </c>
      <c r="G280" s="28">
        <v>3830000</v>
      </c>
      <c r="P280" s="5">
        <v>4</v>
      </c>
      <c r="Q280" s="4">
        <v>450</v>
      </c>
      <c r="T280" s="4" t="s">
        <v>291</v>
      </c>
    </row>
    <row r="281" spans="1:20">
      <c r="A281" s="4">
        <f t="shared" si="4"/>
        <v>280</v>
      </c>
      <c r="B281" s="4" t="s">
        <v>337</v>
      </c>
      <c r="C281" s="4" t="s">
        <v>35</v>
      </c>
      <c r="D281" s="61" t="s">
        <v>36</v>
      </c>
      <c r="E281" s="61" t="s">
        <v>30</v>
      </c>
      <c r="F281" s="5">
        <v>12</v>
      </c>
      <c r="G281" s="28">
        <v>10900000</v>
      </c>
      <c r="H281" s="61"/>
      <c r="I281" s="61"/>
      <c r="J281" s="61"/>
      <c r="K281" s="61"/>
      <c r="L281" s="61"/>
      <c r="P281" s="5">
        <v>12</v>
      </c>
      <c r="Q281" s="4">
        <v>3550</v>
      </c>
      <c r="T281" s="4" t="s">
        <v>291</v>
      </c>
    </row>
    <row r="282" spans="1:20">
      <c r="A282" s="4">
        <f t="shared" si="4"/>
        <v>281</v>
      </c>
      <c r="B282" s="4" t="s">
        <v>338</v>
      </c>
      <c r="C282" s="4" t="s">
        <v>35</v>
      </c>
      <c r="D282" s="61" t="s">
        <v>36</v>
      </c>
      <c r="E282" s="61" t="s">
        <v>42</v>
      </c>
      <c r="F282" s="5">
        <v>11</v>
      </c>
      <c r="G282" s="28">
        <v>140000</v>
      </c>
      <c r="H282" s="61"/>
      <c r="I282" s="61"/>
      <c r="J282" s="61"/>
      <c r="K282" s="61"/>
      <c r="L282" s="61"/>
      <c r="P282" s="5">
        <v>11</v>
      </c>
      <c r="Q282" s="4">
        <v>530</v>
      </c>
      <c r="T282" s="4" t="s">
        <v>291</v>
      </c>
    </row>
    <row r="283" spans="1:20">
      <c r="A283" s="4">
        <f t="shared" si="4"/>
        <v>282</v>
      </c>
      <c r="B283" s="4" t="s">
        <v>339</v>
      </c>
      <c r="C283" s="4" t="s">
        <v>35</v>
      </c>
      <c r="D283" s="61" t="s">
        <v>36</v>
      </c>
      <c r="E283" s="61" t="s">
        <v>30</v>
      </c>
      <c r="F283" s="5">
        <v>3</v>
      </c>
      <c r="G283" s="28">
        <v>100000</v>
      </c>
      <c r="H283" s="61"/>
      <c r="I283" s="61"/>
      <c r="J283" s="61"/>
      <c r="K283" s="61"/>
      <c r="L283" s="61"/>
      <c r="P283" s="5">
        <v>3</v>
      </c>
      <c r="Q283" s="4">
        <v>20</v>
      </c>
      <c r="T283" s="4" t="s">
        <v>291</v>
      </c>
    </row>
    <row r="284" spans="1:20">
      <c r="A284" s="4">
        <f t="shared" si="4"/>
        <v>283</v>
      </c>
      <c r="B284" s="4" t="s">
        <v>340</v>
      </c>
      <c r="C284" s="4" t="s">
        <v>35</v>
      </c>
      <c r="D284" s="61" t="s">
        <v>36</v>
      </c>
      <c r="E284" s="61" t="s">
        <v>30</v>
      </c>
      <c r="F284" s="5">
        <v>10</v>
      </c>
      <c r="G284" s="28">
        <v>140000</v>
      </c>
      <c r="H284" s="61"/>
      <c r="I284" s="61"/>
      <c r="J284" s="61"/>
      <c r="K284" s="61"/>
      <c r="L284" s="61"/>
      <c r="P284" s="5">
        <v>10</v>
      </c>
      <c r="Q284" s="4">
        <v>30</v>
      </c>
      <c r="T284" s="4" t="s">
        <v>291</v>
      </c>
    </row>
    <row r="285" spans="1:20">
      <c r="A285" s="4">
        <f t="shared" si="4"/>
        <v>284</v>
      </c>
      <c r="B285" s="4" t="s">
        <v>341</v>
      </c>
      <c r="C285" s="4" t="s">
        <v>35</v>
      </c>
      <c r="D285" s="61" t="s">
        <v>36</v>
      </c>
      <c r="E285" s="61" t="s">
        <v>30</v>
      </c>
      <c r="F285" s="5">
        <v>12</v>
      </c>
      <c r="G285" s="28">
        <v>130000</v>
      </c>
      <c r="H285" s="61"/>
      <c r="I285" s="61"/>
      <c r="J285" s="61"/>
      <c r="K285" s="61"/>
      <c r="L285" s="61"/>
      <c r="P285" s="5">
        <v>12</v>
      </c>
      <c r="Q285" s="4">
        <v>40</v>
      </c>
      <c r="T285" s="4" t="s">
        <v>291</v>
      </c>
    </row>
    <row r="286" spans="1:20">
      <c r="A286" s="4">
        <f t="shared" si="4"/>
        <v>285</v>
      </c>
      <c r="B286" s="4" t="s">
        <v>342</v>
      </c>
      <c r="C286" s="4" t="s">
        <v>35</v>
      </c>
      <c r="D286" s="61" t="s">
        <v>36</v>
      </c>
      <c r="E286" s="61" t="s">
        <v>30</v>
      </c>
      <c r="F286" s="5">
        <v>11</v>
      </c>
      <c r="G286" s="28">
        <v>180000</v>
      </c>
      <c r="H286" s="61"/>
      <c r="I286" s="61"/>
      <c r="J286" s="61"/>
      <c r="K286" s="61"/>
      <c r="L286" s="61"/>
      <c r="P286" s="5">
        <v>11</v>
      </c>
      <c r="Q286" s="4">
        <v>98</v>
      </c>
      <c r="T286" s="4" t="s">
        <v>291</v>
      </c>
    </row>
    <row r="287" spans="1:20">
      <c r="A287" s="4">
        <f t="shared" si="4"/>
        <v>286</v>
      </c>
      <c r="B287" s="4" t="s">
        <v>343</v>
      </c>
      <c r="C287" s="4" t="s">
        <v>35</v>
      </c>
      <c r="D287" s="61" t="s">
        <v>36</v>
      </c>
      <c r="E287" s="61" t="s">
        <v>30</v>
      </c>
      <c r="F287" s="5">
        <v>18</v>
      </c>
      <c r="G287" s="28">
        <v>201000</v>
      </c>
      <c r="H287" s="61"/>
      <c r="I287" s="61"/>
      <c r="J287" s="61"/>
      <c r="K287" s="61"/>
      <c r="L287" s="61"/>
      <c r="P287" s="5">
        <v>18</v>
      </c>
      <c r="Q287" s="4">
        <v>800</v>
      </c>
      <c r="T287" s="4" t="s">
        <v>291</v>
      </c>
    </row>
    <row r="288" spans="1:20">
      <c r="A288" s="4">
        <f t="shared" si="4"/>
        <v>287</v>
      </c>
      <c r="B288" s="4" t="s">
        <v>344</v>
      </c>
      <c r="C288" s="4" t="s">
        <v>35</v>
      </c>
      <c r="D288" s="61" t="s">
        <v>36</v>
      </c>
      <c r="E288" s="61" t="s">
        <v>30</v>
      </c>
      <c r="F288" s="5">
        <v>7.5</v>
      </c>
      <c r="G288" s="28">
        <v>250000</v>
      </c>
      <c r="H288" s="61"/>
      <c r="I288" s="61"/>
      <c r="J288" s="61"/>
      <c r="K288" s="61"/>
      <c r="L288" s="61"/>
      <c r="P288" s="5">
        <v>7.5</v>
      </c>
      <c r="Q288" s="4">
        <v>20</v>
      </c>
      <c r="T288" s="4" t="s">
        <v>291</v>
      </c>
    </row>
    <row r="289" spans="1:20">
      <c r="A289" s="4">
        <f t="shared" si="4"/>
        <v>288</v>
      </c>
      <c r="B289" s="4" t="s">
        <v>345</v>
      </c>
      <c r="C289" s="4" t="s">
        <v>35</v>
      </c>
      <c r="D289" s="61" t="s">
        <v>36</v>
      </c>
      <c r="E289" s="61" t="s">
        <v>30</v>
      </c>
      <c r="F289" s="5">
        <v>8.9</v>
      </c>
      <c r="G289" s="28">
        <v>282000</v>
      </c>
      <c r="H289" s="61"/>
      <c r="I289" s="61"/>
      <c r="J289" s="61"/>
      <c r="K289" s="61"/>
      <c r="L289" s="61"/>
      <c r="P289" s="5">
        <v>8.9</v>
      </c>
      <c r="Q289" s="4">
        <v>110</v>
      </c>
      <c r="T289" s="4" t="s">
        <v>291</v>
      </c>
    </row>
    <row r="290" spans="1:20">
      <c r="A290" s="4">
        <f t="shared" si="4"/>
        <v>289</v>
      </c>
      <c r="B290" s="4" t="s">
        <v>346</v>
      </c>
      <c r="C290" s="4" t="s">
        <v>35</v>
      </c>
      <c r="D290" s="61" t="s">
        <v>36</v>
      </c>
      <c r="E290" s="61" t="s">
        <v>42</v>
      </c>
      <c r="F290" s="5">
        <v>20</v>
      </c>
      <c r="G290" s="28">
        <v>130000</v>
      </c>
      <c r="H290" s="61"/>
      <c r="I290" s="61"/>
      <c r="J290" s="61"/>
      <c r="K290" s="61"/>
      <c r="L290" s="61"/>
      <c r="P290" s="5">
        <v>20</v>
      </c>
      <c r="Q290" s="4">
        <v>120</v>
      </c>
      <c r="T290" s="4" t="s">
        <v>291</v>
      </c>
    </row>
    <row r="291" spans="1:20">
      <c r="A291" s="4">
        <f t="shared" si="4"/>
        <v>290</v>
      </c>
      <c r="B291" s="4" t="s">
        <v>347</v>
      </c>
      <c r="C291" s="4" t="s">
        <v>35</v>
      </c>
      <c r="D291" s="4" t="s">
        <v>36</v>
      </c>
      <c r="E291" s="4" t="s">
        <v>30</v>
      </c>
      <c r="F291" s="5">
        <v>19.2</v>
      </c>
      <c r="G291" s="28">
        <v>640000</v>
      </c>
      <c r="O291" s="5" t="s">
        <v>31</v>
      </c>
      <c r="P291" s="5">
        <v>19.2</v>
      </c>
      <c r="S291" s="4">
        <v>0.5</v>
      </c>
      <c r="T291" s="4" t="s">
        <v>268</v>
      </c>
    </row>
    <row r="292" spans="1:20">
      <c r="A292" s="4">
        <f t="shared" si="4"/>
        <v>291</v>
      </c>
      <c r="B292" s="4" t="s">
        <v>348</v>
      </c>
      <c r="C292" s="4" t="s">
        <v>35</v>
      </c>
      <c r="D292" s="61" t="s">
        <v>36</v>
      </c>
      <c r="E292" s="61" t="s">
        <v>30</v>
      </c>
      <c r="F292" s="5">
        <v>9</v>
      </c>
      <c r="G292" s="28">
        <v>110000</v>
      </c>
      <c r="H292" s="61"/>
      <c r="I292" s="61"/>
      <c r="J292" s="61"/>
      <c r="K292" s="61"/>
      <c r="L292" s="61"/>
      <c r="P292" s="5">
        <v>9</v>
      </c>
      <c r="Q292" s="4">
        <v>21</v>
      </c>
      <c r="T292" s="4" t="s">
        <v>291</v>
      </c>
    </row>
    <row r="293" spans="1:20">
      <c r="A293" s="4">
        <f t="shared" si="4"/>
        <v>292</v>
      </c>
      <c r="B293" s="4" t="s">
        <v>349</v>
      </c>
      <c r="C293" s="4" t="s">
        <v>35</v>
      </c>
      <c r="D293" s="61" t="s">
        <v>36</v>
      </c>
      <c r="E293" s="61" t="s">
        <v>30</v>
      </c>
      <c r="F293" s="5">
        <v>5</v>
      </c>
      <c r="G293" s="28">
        <v>150000</v>
      </c>
      <c r="H293" s="61"/>
      <c r="I293" s="61"/>
      <c r="J293" s="61"/>
      <c r="K293" s="61"/>
      <c r="L293" s="61"/>
      <c r="P293" s="5">
        <v>5</v>
      </c>
      <c r="Q293" s="4">
        <v>15</v>
      </c>
      <c r="T293" s="4" t="s">
        <v>291</v>
      </c>
    </row>
    <row r="294" spans="1:20">
      <c r="A294" s="4">
        <f t="shared" si="4"/>
        <v>293</v>
      </c>
      <c r="B294" s="4" t="s">
        <v>350</v>
      </c>
      <c r="C294" s="4" t="s">
        <v>35</v>
      </c>
      <c r="D294" s="61" t="s">
        <v>36</v>
      </c>
      <c r="E294" s="61" t="s">
        <v>30</v>
      </c>
      <c r="F294" s="5">
        <v>16</v>
      </c>
      <c r="G294" s="28">
        <v>552000</v>
      </c>
      <c r="H294" s="61"/>
      <c r="I294" s="61"/>
      <c r="J294" s="61"/>
      <c r="K294" s="61"/>
      <c r="L294" s="61"/>
      <c r="P294" s="5">
        <v>16</v>
      </c>
      <c r="Q294" s="4">
        <v>1479</v>
      </c>
      <c r="T294" s="4" t="s">
        <v>291</v>
      </c>
    </row>
    <row r="295" spans="1:20">
      <c r="A295" s="4">
        <f t="shared" si="4"/>
        <v>294</v>
      </c>
      <c r="B295" s="4" t="s">
        <v>351</v>
      </c>
      <c r="C295" s="4" t="s">
        <v>35</v>
      </c>
      <c r="D295" s="61" t="s">
        <v>36</v>
      </c>
      <c r="E295" s="61" t="s">
        <v>30</v>
      </c>
      <c r="F295" s="5">
        <v>25.5</v>
      </c>
      <c r="G295" s="28">
        <v>1240000</v>
      </c>
      <c r="H295" s="61"/>
      <c r="I295" s="61"/>
      <c r="J295" s="61"/>
      <c r="K295" s="61"/>
      <c r="L295" s="61"/>
      <c r="M295" s="61"/>
      <c r="N295" s="61"/>
      <c r="O295" s="61"/>
      <c r="P295" s="5">
        <v>25.5</v>
      </c>
    </row>
    <row r="296" spans="1:20">
      <c r="A296" s="4">
        <f t="shared" si="4"/>
        <v>295</v>
      </c>
      <c r="B296" s="4" t="s">
        <v>352</v>
      </c>
      <c r="C296" s="4" t="s">
        <v>35</v>
      </c>
      <c r="D296" s="4" t="s">
        <v>36</v>
      </c>
      <c r="E296" s="4" t="s">
        <v>30</v>
      </c>
      <c r="F296" s="5">
        <v>16</v>
      </c>
      <c r="G296" s="28">
        <v>140000</v>
      </c>
      <c r="O296" s="5" t="s">
        <v>31</v>
      </c>
      <c r="P296" s="5">
        <v>16</v>
      </c>
      <c r="S296" s="4">
        <v>0.4</v>
      </c>
      <c r="T296" s="4" t="s">
        <v>268</v>
      </c>
    </row>
    <row r="297" spans="1:20">
      <c r="A297" s="4">
        <f t="shared" si="4"/>
        <v>296</v>
      </c>
      <c r="B297" s="48" t="s">
        <v>353</v>
      </c>
      <c r="C297" s="48" t="s">
        <v>35</v>
      </c>
      <c r="D297" s="48" t="s">
        <v>36</v>
      </c>
      <c r="E297" s="48" t="s">
        <v>42</v>
      </c>
      <c r="F297" s="49">
        <v>23.5</v>
      </c>
      <c r="G297" s="50">
        <v>15400000</v>
      </c>
      <c r="H297" s="62">
        <v>0.177163120567376</v>
      </c>
      <c r="I297" s="62">
        <v>0.31</v>
      </c>
      <c r="J297" s="62">
        <v>4.03003754693367</v>
      </c>
      <c r="K297" s="62">
        <v>0.387463496036713</v>
      </c>
      <c r="L297" s="62">
        <v>5.37338339591156</v>
      </c>
      <c r="M297" s="49">
        <v>0.4</v>
      </c>
      <c r="N297" s="49">
        <v>0.4</v>
      </c>
      <c r="O297" s="49" t="s">
        <v>31</v>
      </c>
      <c r="P297" s="49">
        <v>23.5</v>
      </c>
      <c r="Q297" s="48">
        <v>11200</v>
      </c>
      <c r="R297" s="48">
        <v>135</v>
      </c>
      <c r="S297" s="48">
        <v>0.43</v>
      </c>
      <c r="T297" s="48" t="s">
        <v>46</v>
      </c>
    </row>
    <row r="298" spans="1:20">
      <c r="A298" s="4">
        <f t="shared" si="4"/>
        <v>297</v>
      </c>
      <c r="B298" s="48" t="s">
        <v>354</v>
      </c>
      <c r="C298" s="48" t="s">
        <v>35</v>
      </c>
      <c r="D298" s="63" t="s">
        <v>36</v>
      </c>
      <c r="E298" s="63" t="s">
        <v>42</v>
      </c>
      <c r="F298" s="49">
        <v>35</v>
      </c>
      <c r="G298" s="50">
        <v>40000000</v>
      </c>
      <c r="H298" s="62">
        <v>0.18541280148423</v>
      </c>
      <c r="I298" s="62">
        <v>0.3</v>
      </c>
      <c r="J298" s="62">
        <v>2.57421150278293</v>
      </c>
      <c r="K298" s="62">
        <v>0.381154916512059</v>
      </c>
      <c r="L298" s="62">
        <v>3.43228200371058</v>
      </c>
      <c r="M298" s="49">
        <v>0.5</v>
      </c>
      <c r="N298" s="49"/>
      <c r="O298" s="49" t="s">
        <v>31</v>
      </c>
      <c r="P298" s="49">
        <v>35</v>
      </c>
      <c r="Q298" s="48">
        <v>2360</v>
      </c>
      <c r="R298" s="48"/>
      <c r="S298" s="48">
        <v>1</v>
      </c>
      <c r="T298" s="48" t="s">
        <v>46</v>
      </c>
    </row>
  </sheetData>
  <autoFilter xmlns:etc="http://www.wps.cn/officeDocument/2017/etCustomData" ref="A12:AE298" etc:filterBottomFollowUsedRange="0">
    <extLst/>
  </autoFilter>
  <mergeCells count="1">
    <mergeCell ref="AB12:AD12"/>
  </mergeCells>
  <hyperlinks>
    <hyperlink ref="B9" r:id="rId1" display="*Corresponding author: Yanlong Li, yanlongli@xaut.edu.cn;" tooltip="mailto:yanlongli@xaut.edu.cn;"/>
  </hyperlinks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TZW</dc:creator>
  <cp:lastModifiedBy>Christing</cp:lastModifiedBy>
  <dcterms:created xsi:type="dcterms:W3CDTF">2023-03-02T08:31:00Z</dcterms:created>
  <dcterms:modified xsi:type="dcterms:W3CDTF">2026-01-14T13:19:38Z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25F09D56EA0847D5BF95596752DA3212_12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